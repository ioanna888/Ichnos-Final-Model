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Παράμετροι_Μοντέλου" sheetId="2" state="visible" r:id="rId4"/>
    <sheet name="Πλέγμα_Στρες" sheetId="3" state="visible" r:id="rId5"/>
    <sheet name="Sweep_KR" sheetId="4" state="visible" r:id="rId6"/>
    <sheet name="Sweep_Kd_TIPTetR" sheetId="5" state="visible" r:id="rId7"/>
    <sheet name="Sweep_n" sheetId="6" state="visible" r:id="rId8"/>
    <sheet name="Μάρτυρας_ΧωρίςΑνάδραση" sheetId="7" state="visible" r:id="rId9"/>
    <sheet name="Ranking_Σύνθεση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<sst xmlns="http://schemas.openxmlformats.org/spreadsheetml/2006/main" count="408" uniqueCount="227">
  <si>
    <t xml:space="preserve">ICHNOS — Sensitivity Analysis (Φάση 3 → Φάση 4)</t>
  </si>
  <si>
    <t xml:space="preserve">Marifylli · dry lab · ενημερώθηκε 2026-08-22</t>
  </si>
  <si>
    <t xml:space="preserve">ΣΚΟΠΟΣ</t>
  </si>
  <si>
    <t xml:space="preserve">One-at-a-time (OAT) sensitivity analysis πάνω στο merged μοντέλο, για τρεις παραμέτρους: Kd_TIP-TetR, K_R, n. Τα sweeps τρέχουν ΞΕΧΩΡΙΣΤΑ για κάθε variant (ox = οξειδωτικό, er = ER) — δύο διαφορετικά κύτταρα/κυκλώματα (CONFIRMED wet lab 2026-07-31), άρα δύο ανεξάρτητα σετ αποτελεσμάτων.</t>
  </si>
  <si>
    <t xml:space="preserve">⚠️ ΕΞΟΔΟΣ ΤΟΥ ΜΟΝΤΕΛΟΥ — ΔΙΑΒΑΣΕ ΠΡΙΝ ΤΡΕΞΕΙΣ</t>
  </si>
  <si>
    <t xml:space="preserve">Η έξοδος των sweeps είναι το  Observed_Green  (η μετρούμενη ένταση του πράσινου καναλιού, διορθωμένη για FRET).
ΟΧΙ το Measured_Ratio_RG. Ο reporter είναι tandem fluorescent timer (mCherry-sfGFP, Khmelinskii et al. 2012). Ο λόγος κόκκινου/πράσινου είναι ΕΞ ΟΡΙΣΜΟΥ ανεξάρτητος του ρυθμού παραγωγής (Supplementary Note 4, E18/E25) — αναφέρει τον ρυθμό απώλειας k, όχι τη δραστικότητα του προαγωγέα. Επαληθεύτηκε αριθμητικά: fold-change = 1.0000000 σε 180× μεταβολή του P. Αν χρησιμοποιηθεί ως έξοδος, ΟΛΑ τα S βγαίνουν 0 χωρίς κανένα σφάλμα.
Το Measured_Ratio_RG διατηρείται ως ΑΝΕΞΑΡΤΗΤΟ readout (χρόνος ζωής πρωτεΐνης / ρυθμός ανάπτυξης), όχι ως μετρικό γραμμικοποίησης.</t>
  </si>
  <si>
    <t xml:space="preserve">ΜΕΘΟΔΟΣ</t>
  </si>
  <si>
    <t xml:space="preserve">Για κάθε παράμετρο κρατάμε τις άλλες δύο στο baseline τους και μεταβάλλουμε μόνο τη μία. Για ΚΑΘΕ τιμή παραμέτρου τρέχουμε ΟΛΟΚΛΗΡΟ το πλέγμα επιπέδων στρες (βλ. φύλλο 'Πλέγμα_Στρες') και υπολογίζουμε τα τρία μετρικά από την προκύπτουσα καμπύλη dose-response.
Τα πλέγματα των παραμέτρων δεν είναι ενιαία log-scale: το n είναι βιολογικά περιορισμένο στο 2–4 (2 tetO sites), ενώ τα binding constants σαρώνονται σε τάξεις μεγέθους. Τα ακριβή πλέγματα φαίνονται στα αντίστοιχα φύλλα — αυτή η παράγραφος ΔΕΝ τα επαναλαμβάνει, ώστε να μη ξαναποκλίνουν.</t>
  </si>
  <si>
    <t xml:space="preserve">ΤΡΙΑ ΜΕΤΡΙΚΑ (και γιατί τρία)</t>
  </si>
  <si>
    <t xml:space="preserve">1. R² (γραμμικό fit) — ΠΡΩΤΕΥΟΝ. Ίδιο μετρικό με Nevozhay et al. (2009 PNAS). Πάνω σε αυτό βασίζεται η κατάταξη.
2. Hill n_eff της εξόδου — συμπληρωματικό, μηχανιστική διαφάνεια (n_eff→1 = πλήρης γραμμικοποίηση).
3. fold-change (max/min της εξόδου) — ΝΕΟ. Τα δύο πρώτα είναι μετρικά ΣΧΗΜΑΤΟΣ: κανονικοποιημένα, τυφλά στο πλάτος. Επαληθεύτηκε ότι σε 4 τάξεις μεγέθους του Kd τα n_eff και R² μένουν σχεδόν ακίνητα ενώ το δυναμικό εύρος αλλάζει 14×. Χωρίς τρίτο μετρικό η ανάλυση θα κατέληγε «το Kd δεν επηρεάζει τίποτα» — ενώ το Kd καθορίζει αν το σήμα είναι καν ανιχνεύσιμο.</t>
  </si>
  <si>
    <t xml:space="preserve">ΜΕΤΡΙΚΟ ΕΥΑΙΣΘΗΣΙΑΣ</t>
  </si>
  <si>
    <t xml:space="preserve">S = (ΔΜετρική / Μετρική_baseline) / (ΔΠαράμετρος / Παράμετρος_baseline) — αδιάστατο. Rabitz, Kramer &amp; Dacol (1983), Annu Rev Phys Chem 34:419–461.
⚠️ ΠΕΡΙΟΡΙΣΜΟΣ ΣΥΓΚΡΙΣΙΜΟΤΗΤΑΣ: το S κανονικοποιεί με το σχετικό βήμα της παραμέτρου. Παίρνοντας MAX|S| σε όλο το πλέγμα, κερδίζει πάντα το σημείο με το μικρότερο βήμα — δηλαδή η παράμετρος με το στενότερο εύρος. Με τα πλέγματα εδώ, για ΙΔΙΑ πραγματική ευαισθησία το n θα έβγαινε ~7× πάνω από το K_R και ~70× πάνω από το Kd, καθαρά από τη σχεδίαση.
ΓΙ' ΑΥΤΟ: η κατάταξη βασίζεται στο S στο ΚΟΙΝΟ ΣΗΜΕΙΟ ×0.75 (−25% από το baseline), που υπάρχει και στα τρία πλέγματα. Το MAX|S| διατηρείται ως ΔΙΑΓΝΩΣΤΙΚΗ στήλη μόνο — δεν καθορίζει την κατάταξη.</t>
  </si>
  <si>
    <t xml:space="preserve">ΠΩΣ ΝΑ ΤΟ ΧΡΗΣΙΜΟΠΟΙΗΣΕΙΣ</t>
  </si>
  <si>
    <t xml:space="preserve">1) Στα φύλλα Sweep_*, για κάθε γραμμή τρέξε το merged μοντέλο σε ΟΛΟ το πλέγμα στρες και γέμισε τα ΚΙΤΡΙΝΑ κελιά (n_eff, R², fold-change). Κάθε γραμμή = μία ολόκληρη καμπύλη, όχι ένα τρέξιμο.
2) Τα S υπολογίζονται αυτόματα.
3) Το φύλλο Ranking_Σύνθεση δίνει την κατάταξη → wiki Section 6 → προτεραιοποίηση Exp.2.</t>
  </si>
  <si>
    <t xml:space="preserve">ΤΙΜΕΣ ΑΝΑΦΟΡΑΣ ΓΙΑ ΕΛΕΓΧΟ ΤΟΥ SWEEP SCRIPT</t>
  </si>
  <si>
    <t xml:space="preserve">Πριν αφήσεις το script να τρέξει ~300 φορές, επιβεβαίωσε ότι στο baseline δίνει:
   ox:  n_eff ≈ 1.686   R² ≈ 0.956   fold-change ≈ 3.00   (Observed_Green 6.50 → 19.51)
   er:  n_eff ≈ 1.985   R² ≈ 0.992   fold-change ≈ 2.76   (Observed_Green 6.50 → 17.96)
Ανεξάρτητος υπολογισμός των ODE από τα submodels (scipy, rtol=1e-11), 2026-08-22.</t>
  </si>
  <si>
    <t xml:space="preserve">ΤΙ ΑΠΑΝΤΑ ΑΥΤΗ Η ΑΝΑΛΥΣΗ — ΚΑΙ ΤΙ ΟΧΙ</t>
  </si>
  <si>
    <t xml:space="preserve">Η ανάλυση ευαισθησίας απαντά: «πόσο ΕΥΑΙΣΘΗΤΗ είναι η γραμμικοποίηση στις παραμέτρους;» — δηλαδή ευρωστία.
ΔΕΝ απαντά: «γραμμικοποιεί το κύκλωμα;». Αυτό απαιτεί τον ΜΑΡΤΥΡΑ ΧΩΡΙΣ ΑΝΑΔΡΑΣΗ (φύλλο 'Μάρτυρας_ΧωρίςΑνάδραση'). Χωρίς αυτόν, ένα n_eff ≈ 1.7 μοιάζει με αποτυχία ενώ είναι επιτυχία: το κύκλωμα εισάγει ισχυρή μη γραμμικότητα (Hill n=4 στο TetR) και η ανάδραση την ακυρώνει, επιστρέφοντας την έξοδο στο σχήμα της εισόδου.
ΤΟ ΣΩΣΤΟ ΚΡΙΤΗΡΙΟ: n_eff(με ανάδραση) έναντι n_eff(χωρίς) — ΟΧΙ n_eff έναντι 1.</t>
  </si>
  <si>
    <t xml:space="preserve">Παράμετροι του merged μοντέλου — τιμές, μονάδες, προέλευση</t>
  </si>
  <si>
    <t xml:space="preserve">ΣΥΜΒΑΣΗ ΑΠΟΙΚΟΔΟΜΗΣΗΣ: κάθε k_deg_* είναι ΚΑΘΑΡΗ πρωτεόλυση· η αραίωση mu προστίθεται ΡΗΤΑ στον νόμο ταχύτητας κάθε αντίδρασης απώλειας — (k_deg_X + mu)·X. Καμία παράμετρος δεν 'περιλαμβάνει ήδη' την αραίωση.</t>
  </si>
  <si>
    <t xml:space="preserve">Παράμετρος</t>
  </si>
  <si>
    <t xml:space="preserve">Τιμή</t>
  </si>
  <si>
    <t xml:space="preserve">Μονάδα</t>
  </si>
  <si>
    <t xml:space="preserve">Συνολική απώλεια</t>
  </si>
  <si>
    <t xml:space="preserve">Ρόλος</t>
  </si>
  <si>
    <t xml:space="preserve">Προέλευση</t>
  </si>
  <si>
    <t xml:space="preserve">mu</t>
  </si>
  <si>
    <t xml:space="preserve">1/h</t>
  </si>
  <si>
    <t xml:space="preserve">—</t>
  </si>
  <si>
    <t xml:space="preserve">αραίωση από κυτταρική διαίρεση</t>
  </si>
  <si>
    <t xml:space="preserve">Διπλασιασμός 120 min — αργό άκρο του τυπικού εύρους 90–120 min για S. cerevisiae (Khmelinskii et al. 2012, Suppl. Note 4). ΥΠΟΨΗΦΙΑ ΓΙΑ ΜΕΤΡΗΣΗ: μία καμπύλη OD600 στο δικό μας στέλεχος/μέσο αντικαθιστά τη βιβλιογραφική τιμή.</t>
  </si>
  <si>
    <t xml:space="preserve">k_deg_TIP</t>
  </si>
  <si>
    <t xml:space="preserve">1.35 (t½ 31 min)</t>
  </si>
  <si>
    <t xml:space="preserve">πρωτεόλυση TIP (sensing modules)</t>
  </si>
  <si>
    <t xml:space="preserve">ΣΧΕΔΙΑΣΤΙΚΗ ΕΠΙΛΟΓΗ (t½ ≈ 42 min). Συμπίπτει με τον διάμεσο χρόνο ημιζωής του πρωτεώματος ζύμης (~43 min· Khmelinskii 2012 Note 4, παραπ. Belle et al. 2006 PNAS). Ικανοποιεί το κριτήριο 'TIP clearance αισθητά ταχύτερη από τον διπλασιασμό' (3.9×).</t>
  </si>
  <si>
    <t xml:space="preserve">k_deg_TetR</t>
  </si>
  <si>
    <t xml:space="preserve">0.47 (t½ 89 min)</t>
  </si>
  <si>
    <t xml:space="preserve">πρωτεόλυση TetR</t>
  </si>
  <si>
    <t xml:space="preserve">Nevozhay et al. (2009 PNAS), παράμετρος d του simplified model.</t>
  </si>
  <si>
    <t xml:space="preserve">delta_w</t>
  </si>
  <si>
    <t xml:space="preserve">πρωτεόλυση συμπλόκου TIP–TetR</t>
  </si>
  <si>
    <t xml:space="preserve">ΠΑΡΑΔΟΧΗ: ίσο με το ελεύθερο TetR. Το δεσμευμένο TetR δεν έχει λόγο να αποικοδομείται διαφορετικά· καμία άμεση βιβλιογραφία.</t>
  </si>
  <si>
    <t xml:space="preserve">k_deg_Reporter</t>
  </si>
  <si>
    <t xml:space="preserve">0.36 (t½ 116 min)</t>
  </si>
  <si>
    <t xml:space="preserve">πρωτεόλυση reporter</t>
  </si>
  <si>
    <t xml:space="preserve">ΕΚΤΙΜΗΣΗ (σταθερός reporter, t½ 69 h). Το mu αποτελεί το 97% της απώλειας — άρα ο tandem timer μετράει πρακτικά τον ρυθμό ανάπτυξης.</t>
  </si>
  <si>
    <t xml:space="preserve">b</t>
  </si>
  <si>
    <t xml:space="preserve">nM⁻¹h⁻¹</t>
  </si>
  <si>
    <t xml:space="preserve">ρυθμός δέσμευσης TIP–TetR</t>
  </si>
  <si>
    <t xml:space="preserve">ΔΑΝΕΙΣΜΕΝΟ: στρογγυλοποίηση του ρυθμού δέσμευσης ATc–TetR (Nevozhay 3.6). Χρησιμοποιείται ως ρυθμός δέσμευσης, που είναι ο σωστός του ρόλος — αλλά δεν αφορά το TIP.</t>
  </si>
  <si>
    <t xml:space="preserve">u_w</t>
  </si>
  <si>
    <t xml:space="preserve">ρυθμός αποδέσμευσης TIP–TetR</t>
  </si>
  <si>
    <t xml:space="preserve">Ορίζει, μαζί με το b, το Kd = u_w/b = 0.25 nM. ΑΥΤΗ σαρώνεται στο Sweep_Kd.</t>
  </si>
  <si>
    <t xml:space="preserve">Kd_TIP-TetR</t>
  </si>
  <si>
    <t xml:space="preserve">nM</t>
  </si>
  <si>
    <t xml:space="preserve">ΠΑΡΑΓΩΓΟ = u_w / b</t>
  </si>
  <si>
    <t xml:space="preserve">ΔΕΝ ΥΠΑΡΧΕΙ ως παράμετρος στο SBML — προκύπτει από b και u_w. Χρησιμοποιείται ΜΟΝΟ ως σημείο κανονικοποίησης για το S· δεν αποτελεί ισχυρισμό για την πραγματική συγγένεια TIP–TetR.</t>
  </si>
  <si>
    <t xml:space="preserve">K_R</t>
  </si>
  <si>
    <t xml:space="preserve">TetR–operator (PGAL1-D12/tetO2)</t>
  </si>
  <si>
    <t xml:space="preserve">Nevozhay et al. (2009 PNAS 106(13):5123-5128), παράμετρος θ του simplified model (Fig. 2 caption· SI 5.3.2 Eq. 44-45). Ίδιο ακριβώς σύστημα σε yeast. ΠΕΡΙΟΡΙΣΜΟΣ: το θ υποθέτει μηδενική διαρροή (SI 5.3.1) — το P_min προστίθεται ξεχωριστά.</t>
  </si>
  <si>
    <t xml:space="preserve">n</t>
  </si>
  <si>
    <t xml:space="preserve">συνεργατικότητα TetR</t>
  </si>
  <si>
    <t xml:space="preserve">Nevozhay et al. (2011, Methods Mol Biol 734 Ch.5, Box 1 Dizzy code). Εύρος 2–4 (2 tetO sites).</t>
  </si>
  <si>
    <t xml:space="preserve">P_min</t>
  </si>
  <si>
    <t xml:space="preserve">διαρροή πλήρως κατεσταλμένου υποκινητή</t>
  </si>
  <si>
    <t xml:space="preserve">Nevozhay et al. (2009) SI Table S1: l₂/m = 1.5/270. → FIT LATER από Strain 1 no-induction control (Exp.1).</t>
  </si>
  <si>
    <t xml:space="preserve">a_TetR</t>
  </si>
  <si>
    <t xml:space="preserve">nM/h</t>
  </si>
  <si>
    <t xml:space="preserve">μέγιστος ρυθμός παραγωγής TetR</t>
  </si>
  <si>
    <t xml:space="preserve">Nevozhay et al. (2009), παράμετρος a.</t>
  </si>
  <si>
    <t xml:space="preserve">a_Reporter</t>
  </si>
  <si>
    <t xml:space="preserve">ρυθμός παραγωγής reporter</t>
  </si>
  <si>
    <t xml:space="preserve">Ίδιο με a_TetR (ίδιος προαγωγέας).</t>
  </si>
  <si>
    <t xml:space="preserve">m</t>
  </si>
  <si>
    <t xml:space="preserve">ωρίμανση sfGFP (ένα βήμα)</t>
  </si>
  <si>
    <t xml:space="preserve">Khmelinskii et al. 2012, Methods 1.2: T = 5.63 min → m = ln2/T.</t>
  </si>
  <si>
    <t xml:space="preserve">m1</t>
  </si>
  <si>
    <t xml:space="preserve">ωρίμανση mCherry, βήμα 1</t>
  </si>
  <si>
    <t xml:space="preserve">Khmelinskii et al. 2012, Methods 1.2: T₁ = 16.91 min.</t>
  </si>
  <si>
    <t xml:space="preserve">m2</t>
  </si>
  <si>
    <t xml:space="preserve">ωρίμανση mCherry, βήμα 2</t>
  </si>
  <si>
    <t xml:space="preserve">Khmelinskii et al. 2012, Methods 1.2: T₂ = 30.30 min.</t>
  </si>
  <si>
    <t xml:space="preserve">E</t>
  </si>
  <si>
    <t xml:space="preserve">απόδοση FRET sfGFP→mCherry</t>
  </si>
  <si>
    <t xml:space="preserve">Khmelinskii et al. 2012, Methods 1.1 (0.173 ± 0.049, FCS).</t>
  </si>
  <si>
    <t xml:space="preserve">f</t>
  </si>
  <si>
    <t xml:space="preserve">σταθερά οργάνου (λόγος εντάσεων)</t>
  </si>
  <si>
    <t xml:space="preserve">Khmelinskii et al. 2012, E17. Τίθεται 1 (αδιαβαθμονόμητο).</t>
  </si>
  <si>
    <t xml:space="preserve">EC50_ox</t>
  </si>
  <si>
    <t xml:space="preserve">μM H₂O₂</t>
  </si>
  <si>
    <t xml:space="preserve">ημι-μέγιστη απόκριση, οξειδωτικό</t>
  </si>
  <si>
    <t xml:space="preserve">Dacquay &amp; McMillen (2021), FEMS Yeast Res 21(4):foab025, Fig. 3 — four-parameter Hill fit, pSynOS_4(alt1).</t>
  </si>
  <si>
    <t xml:space="preserve">n_ox</t>
  </si>
  <si>
    <t xml:space="preserve">συντελεστής Hill, οξειδωτικό</t>
  </si>
  <si>
    <t xml:space="preserve">Dacquay &amp; McMillen (2021), Fig. 3 (ίδιος πίνακας με το EC50).</t>
  </si>
  <si>
    <t xml:space="preserve">EC50_er</t>
  </si>
  <si>
    <t xml:space="preserve">μM DTT</t>
  </si>
  <si>
    <t xml:space="preserve">ημι-μέγιστη απόκριση, ER</t>
  </si>
  <si>
    <t xml:space="preserve">Pincus et al. (2010), PLoS Biol 8(7):e1000415: «2.2 mM DTT παρήγαγαν περίπου ημι-μέγιστη απόκριση». ΠΡΟΣΟΧΗ: το paper δεν δημοσιεύει fitted EC50· αντιστοιχεί σε ημι-μέγιστο PLATEAU ΑΝΑΦΟΡΕΑ, όχι σε διατηρούμενη δραστικότητα Ire1 (η απόκριση UPR είναι παροδική).</t>
  </si>
  <si>
    <t xml:space="preserve">n_er</t>
  </si>
  <si>
    <t xml:space="preserve">συντελεστής Hill, ER</t>
  </si>
  <si>
    <t xml:space="preserve">ΕΚΤΙΜΗΣΗ. Το Pincus et al. δεν αναφέρει fitted Hill για την καμπύλη DTT (in vitro το Ire1 δίνει &gt;8, εξομαλυμένο από το BiP στο κύτταρο).</t>
  </si>
  <si>
    <t xml:space="preserve">beta_basal</t>
  </si>
  <si>
    <t xml:space="preserve">βασική παραγωγή TIP (και τα δύο variants)</t>
  </si>
  <si>
    <t xml:space="preserve">⚠️ ΑΝΟΙΧΤΟ: beta_max/beta_basal = 5×, ενώ ο Dacquay αναφέρει 21.9–33.6× για τον ίδιο προαγωγέα. Ταυτόσημες τιμές σε ox και er παρότι διαφορετικοί προαγωγείς — πιθανό copy-paste. Επηρεάζει ΜΟΝΟ το fold-change.</t>
  </si>
  <si>
    <t xml:space="preserve">beta_max</t>
  </si>
  <si>
    <t xml:space="preserve">μέγιστη παραγωγή TIP</t>
  </si>
  <si>
    <t xml:space="preserve">Βλ. beta_basal.</t>
  </si>
  <si>
    <t xml:space="preserve">Υπόμνημα:</t>
  </si>
  <si>
    <t xml:space="preserve">Πράσινο = βιβλιογραφική τιμή, με ρητή παραπομπή</t>
  </si>
  <si>
    <t xml:space="preserve">Μπεζ = εκτίμηση ή σχεδιαστική επιλογή, χωρίς άμεση βιβλιογραφία → υποψήφια για Exp.2</t>
  </si>
  <si>
    <t xml:space="preserve">Κόκκινο = ανοιχτό ερώτημα, χρειάζεται απόφαση</t>
  </si>
  <si>
    <t xml:space="preserve">Πλέγμα επιπέδων στρες — απαραίτητο για κάθε γραμμή των sweeps</t>
  </si>
  <si>
    <t xml:space="preserve">Κάθε γραμμή ενός sweep sheet απαιτεί ΟΛΟΚΛΗΡΗ καμπύλη dose-response, δηλαδή ένα τρέξιμο ΑΝΑ επίπεδο στρες. 8 επίπεδα × 5 τιμές παραμέτρου × 3 παράμετροι × 2 variants ≈ 240 προσομοιώσεις.
Το S ορίζεται ΠΡΟΓΡΑΜΜΑΤΙΣΤΙΚΑ σε κάθε επανάληψη (r[S_id] = τιμή) — ΔΕΝ αλλάζει στο αρχείο. Στο SBML το S_ox και το S_er μένουν 0.</t>
  </si>
  <si>
    <t xml:space="preserve">#</t>
  </si>
  <si>
    <t xml:space="preserve">ox — S_ox (μM H₂O₂)</t>
  </si>
  <si>
    <t xml:space="preserve">er — S_er (μM DTT)</t>
  </si>
  <si>
    <t xml:space="preserve">×EC50 (περίπου)</t>
  </si>
  <si>
    <t xml:space="preserve">Σχόλιο</t>
  </si>
  <si>
    <t xml:space="preserve">0.04 / 0.06</t>
  </si>
  <si>
    <t xml:space="preserve">κάτω άκρο· πρακτικά βασική στάθμη</t>
  </si>
  <si>
    <t xml:space="preserve">0.07 / 0.12</t>
  </si>
  <si>
    <t xml:space="preserve">0.15 / 0.23</t>
  </si>
  <si>
    <t xml:space="preserve">0.30 / 0.41</t>
  </si>
  <si>
    <t xml:space="preserve">0.55 / 0.68</t>
  </si>
  <si>
    <t xml:space="preserve">1.00 / 1.00</t>
  </si>
  <si>
    <t xml:space="preserve">EC50 — ημι-μέγιστη απόκριση</t>
  </si>
  <si>
    <t xml:space="preserve">1.48 / 1.27</t>
  </si>
  <si>
    <t xml:space="preserve">2.21 / 1.50</t>
  </si>
  <si>
    <t xml:space="preserve">ΑΝΩ ΟΡΙΟ — βλ. σημείωση τοξικότητας</t>
  </si>
  <si>
    <t xml:space="preserve">ΓΙΑΤΙ ΑΥΤΑ ΤΑ ΟΡΙΑ</t>
  </si>
  <si>
    <t xml:space="preserve">ox — άνω όριο 600 μM: ο Dacquay &amp; McMillen (2021) όρισε τα 600 μM ως συγκέντρωση αποκοπής για την προσαρμογή των καμπυλών, επειδή πάνω από εκεί ο φθορισμός ΠΕΦΤΕΙ λόγω τοξικότητας. Το Hill μοντέλο του module είναι μονότονα αύξον και ΔΕΝ περιγράφει καθόλου αυτή την περιοχή. Πειραματικό εύρος του paper: 10¹–10⁴ μM.</t>
  </si>
  <si>
    <t xml:space="preserve">er — άνω όριο 3300 μM: στα 5 mM DTT τα κύτταρα σταματούν να πολλαπλασιάζονται (Pincus et al. 2010)· στα 2.2 και 1.5 mM συνεχίζουν. Το 3.3 mM αντιστοιχεί σε ~75% απόκριση κατά το paper. Πειραματικό εύρος: 0.13–7.5 mM.</t>
  </si>
  <si>
    <t xml:space="preserve">Οι δύο λόγοι EC50/ανώτατο όριο είναι 0.45 και 0.67 — αρκετά κοντά ώστε τα δύο πλέγματα να καλύπτουν συγκρίσιμη περιοχή της καμπύλης, άρα τα R² και n_eff των δύο variants να συγκρίνονται δίκαια.</t>
  </si>
  <si>
    <t xml:space="preserve">⚠️ ΠΑΡΑΔΟΧΗ: το mu θεωρείται ΣΤΑΘΕΡΟ σε όλο το πλέγμα. Και τα δύο papers αναφέρουν ότι το στρες επιβραδύνει την ανάπτυξη σε υψηλές δόσεις. Δοκιμή ευαισθησίας (mu 0.35→0.2 στο άνω άκρο) μετατοπίζει τα n_eff/R² κατά ~5% αλλά το fold-change κατά +64%. Η κατάταξη είναι ανθεκτική· το fold-change αναφέρεται με επιφύλαξη. Μετρήσιμο από το wet lab.</t>
  </si>
  <si>
    <t xml:space="preserve">Sweep — K_R (TetR–operator, PGAL1-D12/tetO2)</t>
  </si>
  <si>
    <t xml:space="preserve">Baseline K_R = 0.44 nM (Nevozhay et al. 2009, θ). Σαρώνεται απευθείας η παράμετρος K_R του merged μοντέλου. Μονάδα: nM. Owner: Marifylli.</t>
  </si>
  <si>
    <t xml:space="preserve">VARIANT: ox (οξειδωτικό)</t>
  </si>
  <si>
    <t xml:space="preserve">Sweep factor</t>
  </si>
  <si>
    <t xml:space="preserve">Τιμή παραμέτρου</t>
  </si>
  <si>
    <t xml:space="preserve">Τιμή στο SBML (K_R, nM)</t>
  </si>
  <si>
    <t xml:space="preserve">n_eff</t>
  </si>
  <si>
    <t xml:space="preserve">R²</t>
  </si>
  <si>
    <t xml:space="preserve">fold-change</t>
  </si>
  <si>
    <t xml:space="preserve">S (R²)</t>
  </si>
  <si>
    <t xml:space="preserve">S (n_eff)</t>
  </si>
  <si>
    <t xml:space="preserve">S (fold-ch.)</t>
  </si>
  <si>
    <t xml:space="preserve">Σημειώσεις</t>
  </si>
  <si>
    <t xml:space="preserve">×0.05</t>
  </si>
  <si>
    <t xml:space="preserve">×0.15</t>
  </si>
  <si>
    <t xml:space="preserve">×0.75</t>
  </si>
  <si>
    <t xml:space="preserve">ΚΟΙΝΟ ΣΗΜΕΙΟ ΣΥΓΚΡΙΣΗΣ (−25%) — βάση της κατάταξης</t>
  </si>
  <si>
    <t xml:space="preserve">×1</t>
  </si>
  <si>
    <t xml:space="preserve">BASELINE</t>
  </si>
  <si>
    <t xml:space="preserve">×3</t>
  </si>
  <si>
    <t xml:space="preserve">×5</t>
  </si>
  <si>
    <t xml:space="preserve">VARIANT: er (ER stress)</t>
  </si>
  <si>
    <t xml:space="preserve">Πηγή / σχόλιο:</t>
  </si>
  <si>
    <t xml:space="preserve">Baseline K_R = 0.44 nM: Nevozhay et al. (2009, PNAS 106(13):5123-5128), παράμετρος θ του simplified model (Fig. 2 caption· SI 5.3.2 Eq. 44-45). Προτιμάται έναντι Kamionka et al. (2004, 0.18 nM) επειδή προέρχεται από fit στο ΙΔΙΟ PGAL1-D12/tetO2 σύστημα σε yeast, όχι in vitro σε απομονωμένο TetR-tetO. Συγκλίνουσες υποστηρικτικές πηγές (ίδια τάξη μεγέθους): Kamionka 2004 (0.18 nM), Aleksandrov 2008 (~10 pM), Hillen &amp; Berens 1994 (~5 pM, δευτερογενής). ΠΕΡΙΟΡΙΣΜΟΣ: το θ υποθέτει ρητά μηδενική διαρροή (SI 5.3.1) — το P_min προστίθεται ξεχωριστά στην εξίσωση παραγωγής. Οριστική τιμή από fit στο Exp.2 (graded galactose titration).</t>
  </si>
  <si>
    <t xml:space="preserve">Κίτρινο = γέμισέ το μετά το τρέξιμο (μία ολόκληρη καμπύλη dose-response ανά γραμμή)</t>
  </si>
  <si>
    <t xml:space="preserve">Μπεζ = baseline</t>
  </si>
  <si>
    <t xml:space="preserve">Πράσινο = κοινό σημείο σύγκρισης −25%, υπάρχει και στα τρία sweeps</t>
  </si>
  <si>
    <t xml:space="preserve">Sweep — Kd_TIP-TetR (δέσμευση TIP στο TetR)</t>
  </si>
  <si>
    <t xml:space="preserve">Baseline Kd = 0.25 nM. ⚠️ ΔΕΝ ΥΠΑΡΧΕΙ παράμετρος 'Kd' στο SBML — προκύπτει ως u_w/b. Σαρώνεται το u_w με b = 4 nM⁻¹h⁻¹ ΣΤΑΘΕΡΟ, άρα Kd = u_w/4. Μονάδα: nM. Owner: Ιωάννα.</t>
  </si>
  <si>
    <t xml:space="preserve">Τιμή στο SBML (u_w, 1/h)</t>
  </si>
  <si>
    <t xml:space="preserve">×0.01</t>
  </si>
  <si>
    <t xml:space="preserve">×0.1</t>
  </si>
  <si>
    <t xml:space="preserve">BASELINE — η τιμή που ΗΔΗ έχει το μοντέλο (b=4, u_w=1)</t>
  </si>
  <si>
    <t xml:space="preserve">×10</t>
  </si>
  <si>
    <t xml:space="preserve">×100</t>
  </si>
  <si>
    <t xml:space="preserve">Το Kd δεν υπάρχει ως παράμετρος: το binding μοντελοποιείται δυναμικά με b = 4 nM⁻¹h⁻¹ και u_w = 1 h⁻¹, άρα Kd = u_w/b = 0.25 nM. Αυτή η τιμή υπάρχει ΗΔΗ de facto στο μοντέλο — απλώς δεν ήταν δηλωμένη πουθενά (επαληθεύτηκε: μηδέν εμφανίσεις της συμβολοσειράς 'Kd' σε όλα τα αρχεία). Το b = 4 είναι στρογγυλοποίηση του ρυθμού δέσμευσης ATc–TetR του Nevozhay (3.6) — χρησιμοποιείται ΜΟΝΟ ως σημείο κανονικοποίησης, δεν αποτελεί ισχυρισμό για την πραγματική συγγένεια TIP–TetR, που παραμένει άγνωστη.
ΕΠΙΛΟΓΗ ΠΑΡΑΜΕΤΡΟΠΟΙΗΣΗΣ: επαληθεύτηκε αριθμητικά ότι η σάρωση του u_w (b σταθερό) και η σάρωση του b (u_w σταθερό) δίνουν ταυτόσημα n_eff και R² (διαφορά &lt;0.01 σε 4 τάξεις μεγέθους), γιατί η δέσμευση παραμένει σε quasi-steady-state σε όλο το εύρος (k_obs = 15–536 h⁻¹ έναντι ρυθμών κύκλου 0.35–1.35 h⁻¹). Το FOLD-CHANGE όμως ΔΕΝ συγκλίνει στο σφιχτό άκρο (21.7% από το όριο QSSA) — αναφέρεται ρητά ως εξαρτώμενο από b = 4. Οριστική τιμή είτε από docking (PyMOL) είτε από fit στο Exp.2.</t>
  </si>
  <si>
    <t xml:space="preserve">Sweep — n (συνεργατικότητα TetR)</t>
  </si>
  <si>
    <t xml:space="preserve">Baseline n = 4 (Nevozhay et al., Dizzy code). Εύρος βιολογικά περιορισμένο 2–4 (2 tetO sites) — ΟΧΙ log-scale: n = 0.4 ή n = 40 δεν έχουν βιολογικό νόημα. Αδιάστατο. Owner: Vicky.</t>
  </si>
  <si>
    <t xml:space="preserve">Τιμή στο SBML (n)</t>
  </si>
  <si>
    <t xml:space="preserve">×0.500 (n=2.0)</t>
  </si>
  <si>
    <t xml:space="preserve">×0.625 (n=2.5)</t>
  </si>
  <si>
    <t xml:space="preserve">×0.75 (n=3.0)</t>
  </si>
  <si>
    <t xml:space="preserve">×0.875 (n=3.5)</t>
  </si>
  <si>
    <t xml:space="preserve">×1 (n=4.0)</t>
  </si>
  <si>
    <t xml:space="preserve">n = 4 από Nevozhay et al. (2011, Methods Mol Biol 734, Ch.5, Box 1, Dizzy code: 'n=4 // Hill coefficient'). Εύρος 2–4 λόγω 2 tetO sites.
⚠️ ΠΡΟΣΟΧΗ ΣΤΗ ΣΥΓΚΡΙΣΗ: το εύρος του n είναι κατ' ανάγκη πολύ στενότερο από των binding constants. Επειδή το S κανονικοποιεί με το σχετικό βήμα, ένα MAX|S| θα ευνοούσε συστηματικά το n (~7× έναντι K_R, ~70× έναντι Kd) χωρίς καμία βιολογική αιτία. Γι' αυτό η κατάταξη χρησιμοποιεί το κοινό σημείο ×0.75. Το στενό εύρος ΔΕΝ είναι σφάλμα — είναι σωστή βιολογική επιλογή που απλώς δεν συνδυάζεται με MAX|S|.</t>
  </si>
  <si>
    <t xml:space="preserve">Comparison circuit — γραμμικοποιεί το κύκλωμα;</t>
  </si>
  <si>
    <t xml:space="preserve">Το ερώτημα «γραμμικοποιεί;» ΔΕΝ απαντιέται συγκρίνοντας το n_eff με το 1. Απαντιέται συγκρίνοντας το κύκλωμα με τον ΜΑΡΤΥΡΑ ΧΩΡΙΣ ΑΝΑΔΡΑΣΗ: ίδιο μοντέλο, αλλά το TetR παράγεται με σταθερό ρυθμό αντί να αυτορυθμίζεται (a_TetR·P_fixed αντί a_TetR·P). Αυτό είναι το comparison circuit που προέβλεπε το GAMEPLAN.</t>
  </si>
  <si>
    <t xml:space="preserve">VARIANT: ox</t>
  </si>
  <si>
    <t xml:space="preserve">Κύκλωμα</t>
  </si>
  <si>
    <t xml:space="preserve">R² (γραμμ.)</t>
  </si>
  <si>
    <t xml:space="preserve">ΕΙΣΟΔΟΣ beta(S)</t>
  </si>
  <si>
    <t xml:space="preserve">το σήμα στρες όπως το παράγει ο αισθητήρας — σημείο αναφοράς</t>
  </si>
  <si>
    <t xml:space="preserve">ΧΩΡΙΣ ανάδραση (μάρτυρας)</t>
  </si>
  <si>
    <t xml:space="preserve">το κύκλωμα ΕΠΙΔΕΙΝΩΝΕΙ την είσοδο: προσθέτει δική του μη γραμμικότητα (Hill n=4 στο TetR)</t>
  </si>
  <si>
    <t xml:space="preserve">ΜΕ ανάδραση (ICHNOS)</t>
  </si>
  <si>
    <t xml:space="preserve">η ανάδραση ακυρώνει την πρόσθετη μη γραμμικότητα — η έξοδος επιστρέφει στο σχήμα της εισόδου</t>
  </si>
  <si>
    <t xml:space="preserve">→ ΑΠΟΤΕΛΕΣΜΑ ox: n_eff 3.16 → 1.69 (−47%)  ·  R² 0.784 → 0.956  ·  κόστος: fold-change 17.6× → 3.0×</t>
  </si>
  <si>
    <t xml:space="preserve">VARIANT: er</t>
  </si>
  <si>
    <t xml:space="preserve">→ ΑΠΟΤΕΛΕΣΜΑ er: n_eff 3.76 → 1.98 (−47%)  ·  R² 0.901 → 0.992  ·  κόστος: fold-change 17.5× → 2.8×</t>
  </si>
  <si>
    <t xml:space="preserve">ΜΕΘΟΔΟΣ ΜΑΡΤΥΡΑ</t>
  </si>
  <si>
    <t xml:space="preserve">Ο μάρτυρας διαφέρει ΜΟΝΟ στον όρο παραγωγής TetR: a_TetR·P_fixed αντί a_TetR·P, όπου P_fixed ισούται με το P του πλήρους κυκλώματος στο χαμηλότερο επίπεδο στρες — ώστε τα δύο κυκλώματα να ξεκινούν από το ίδιο βασικό TetR και η σύγκριση να αφορά καθαρά το ΣΧΗΜΑ.</t>
  </si>
  <si>
    <t xml:space="preserve">Το TIP εξακολουθεί να δεσμεύει TetR και το P εξακολουθεί να οδηγεί τον reporter. Αφαιρείται ΜΟΝΟ η αυτορύθμιση του TetR — δηλαδή ακριβώς ο μηχανισμός γραμμικοποίησης του Nevozhay et al. (2009).</t>
  </si>
  <si>
    <t xml:space="preserve">Το πλήρες κύκλωμα υπολογίστηκε με roadrunner επί των merged_*.sbml. Ο μάρτυρας απαιτεί δομική αλλαγή (όχι απλή αλλαγή παραμέτρου) και υλοποιήθηκε ως ισοδύναμο σύστημα ODE· επαληθεύτηκε ότι με ενεργή ανάδραση αναπαράγει το roadrunner στο 4ο δεκαδικό.</t>
  </si>
  <si>
    <t xml:space="preserve">⚠️ ΓΙΑ ΤΟ WIKI: το ότι το n_eff της εξόδου ταιριάζει με το n_ox/n_er του αισθητήρα ΔΕΝ σημαίνει «το κύκλωμα δεν κάνει τίποτα». Σημαίνει ότι η έξοδος αναπαράγει πιστά το σήμα στρες χωρίς πρόσθετη παραμόρφωση — που είναι ακριβώς ο ορισμός του γραμμικοποιητή. Ο μάρτυρας το αποδεικνύει.</t>
  </si>
  <si>
    <t xml:space="preserve">Φάση 4 — Ranking &amp; Σύνθεση (wiki Section 6)</t>
  </si>
  <si>
    <t xml:space="preserve">Η κατάταξη βασίζεται στο |S| του R² στο ΚΟΙΝΟ ΣΗΜΕΙΟ ×0.75 (−25%), που υπάρχει και στα τρία sweeps. Το MAX|S| είναι ΔΙΑΓΝΩΣΤΙΚΟ μόνο: ευνοεί συστηματικά την παράμετρο με το στενότερο πλέγμα (εδώ το n) και ΔΕΝ πρέπει να χρησιμοποιηθεί για σύγκριση μεταξύ παραμέτρων.</t>
  </si>
  <si>
    <t xml:space="preserve">Owner</t>
  </si>
  <si>
    <t xml:space="preserve">Variant</t>
  </si>
  <si>
    <t xml:space="preserve">|S| στο ×0.75 (R²)</t>
  </si>
  <si>
    <t xml:space="preserve">Κατάταξη</t>
  </si>
  <si>
    <t xml:space="preserve">MAX|S| (διαγνωστικό)</t>
  </si>
  <si>
    <t xml:space="preserve">Σύνδεση με Exp.2 / POC prioritization</t>
  </si>
  <si>
    <t xml:space="preserve">K_R (TetR–operator)</t>
  </si>
  <si>
    <t xml:space="preserve">Marifylli</t>
  </si>
  <si>
    <t xml:space="preserve">ox</t>
  </si>
  <si>
    <t xml:space="preserve">Kd_TIP-TetR (TIP–TetR)</t>
  </si>
  <si>
    <t xml:space="preserve">Ιωάννα</t>
  </si>
  <si>
    <t xml:space="preserve">n (συνεργατικότητα TetR)</t>
  </si>
  <si>
    <t xml:space="preserve">Vicky</t>
  </si>
  <si>
    <t xml:space="preserve">er</t>
  </si>
  <si>
    <t xml:space="preserve">Σημειώσεις:</t>
  </si>
  <si>
    <t xml:space="preserve">Η στήλη 'Κατάταξη' μένει ΚΕΝΗ μέχρι να γεμίσουν και οι τρεις τιμές του variant — δεν εμφανίζει κατάταξη πάνω σε μηδενικά.</t>
  </si>
  <si>
    <t xml:space="preserve">Η στήλη 'Σύνδεση με Exp.2' συμπληρώνεται χειροκίνητα με βάση το POC prioritization doc.</t>
  </si>
  <si>
    <t xml:space="preserve">Αν η κατάταξη διαφέρει μεταξύ ox και er, αυτό είναι ΑΠΟΤΕΛΕΣΜΑ, όχι σφάλμα: τα δύο κυκλώματα έχουν διαφορετικό n_ox/n_er (1.7 vs 2) και διαφορετική κλίμακα στρες.</t>
  </si>
  <si>
    <t xml:space="preserve">ΣΥΝΙΣΤΑΤΑΙ να αναφερθεί στο wiki και το fold-change δίπλα στην κατάταξη: μια παράμετρος μπορεί να μην επηρεάζει τη γραμμικότητα και ταυτόχρονα να καθορίζει αν το σήμα είναι καν ανιχνεύσιμο. Το Kd είναι ακριβώς τέτοια περίπτωση.</t>
  </si>
  <si>
    <t xml:space="preserve">ΑΠΟΤΕΛΕΣΜΑΤΑ — 2026-08-22 (34 καμπύλες, 272 προσομοιώσεις, roadrunner επί merged_*.sbml)</t>
  </si>
  <si>
    <t xml:space="preserve">1) Η ΓΡΑΜΜΙΚΟΠΟΙΗΣΗ ΔΟΥΛΕΥΕΙ. Σύγκριση με τον μάρτυρα χωρίς ανάδραση (φύλλο 'Μάρτυρας_ΧωρίςΑνάδραση'): n_eff 3.16→1.69 (ox) και 3.76→1.98 (er), μείωση ~47%. R² 0.784→0.956 (ox) και 0.901→0.992 (er). Χωρίς την ανάδραση το κύκλωμα ΕΠΙΔΕΙΝΩΝΕΙ την είσοδο· με αυτήν, η έξοδος επιστρέφει στο σχήμα του σήματος στρες.</t>
  </si>
  <si>
    <t xml:space="preserve">2) ΤΟ ΑΠΟΤΕΛΕΣΜΑ ΕΙΝΑΙ ΕΥΡΩΣΤΟ. Και τα τρία |S| &lt; 0.01: μεταβολές των Kd, K_R, n σε τάξεις μεγέθους αφήνουν τη γραμμικοποίηση ουσιαστικά αμετάβλητη. Αυτό ΔΕΝ σημαίνει ότι οι παράμετροι δεν μετράνε — σημαίνει ότι το κύκλωμα λειτουργεί σε κορεσμό γραμμικοποίησης, ακριβώς όπως προβλέπει ο Nevozhay et al. (2009) για τον linearizer.</t>
  </si>
  <si>
    <t xml:space="preserve">3) ΤΟ KD ΚΥΡΙΑΡΧΕΙ ΣΤΟ ΠΛΑΤΟΣ. Το fold-change μεταβάλλεται 2.6× στο Kd sweep (3.35→1.28) έναντι μόλις 1.15× για K_R και n. Στο Kd = 25 nM το σήμα πέφτει σε 1.28× — πρακτικά μη ανιχνεύσιμο. Με τα δύο αρχικά μετρικά το Kd θα είχε καταταγεί ΤΕΛΕΥΤΑΙΟ· είναι στην πραγματικότητα η παράμετρος που καθορίζει αν θα δούμε σήμα.</t>
  </si>
  <si>
    <t xml:space="preserve">4) ΓΙΑ ΤΟ Exp.2: προτεραιότητα στον πειραματικό προσδιορισμό του Kd_TIP-TetR (docking ή fit), όχι του K_R.</t>
  </si>
  <si>
    <t xml:space="preserve">5) ΚΟΣΤΟΣ ΤΗΣ ΓΡΑΜΜΙΚΟΠΟΙΗΣΗΣ: δυναμικό εύρος 17.6×→3.0× (ox) και 17.5×→2.8× (er). Γνωστή ανταλλαγή των linearizers (γραμμικότητα έναντι πλάτους) — πρέπει να δηλωθεί, δεν είναι έκπληξη.</t>
  </si>
  <si>
    <t xml:space="preserve">⚠️ ΠΡΟΣΟΧΗ ΣΤΗΝ ΚΑΤΑΤΑΞΗ: με |S| αυτής της τάξης οι διαφορές μεταξύ των τριών είναι στο επίπεδο του αριθμητικού θορύβου του Hill fit. Η κατάταξη ΔΕΝ πρέπει να παρουσιαστεί ως ισχυρό συμπέρασμα. Τα ισχυρά συμπεράσματα είναι τα (1), (2) και (3).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</si>
</sst>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6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79.5" hidden="false" customHeight="true" outlineLevel="0" collapsed="false">
      <c r="A8" s="6" t="s">
        <v>5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5" t="s">
        <v>6</v>
      </c>
    </row>
    <row r="11" customFormat="false" ht="57" hidden="false" customHeight="true" outlineLevel="0" collapsed="false">
      <c r="A11" s="6" t="s">
        <v>7</v>
      </c>
    </row>
    <row r="12" customFormat="false" ht="15" hidden="false" customHeight="true" outlineLevel="0" collapsed="false">
      <c r="A12" s="4"/>
    </row>
    <row r="13" customFormat="false" ht="15" hidden="false" customHeight="true" outlineLevel="0" collapsed="false">
      <c r="A13" s="5" t="s">
        <v>8</v>
      </c>
    </row>
    <row r="14" customFormat="false" ht="57" hidden="false" customHeight="true" outlineLevel="0" collapsed="false">
      <c r="A14" s="6" t="s">
        <v>9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10</v>
      </c>
    </row>
    <row r="17" customFormat="false" ht="90.75" hidden="false" customHeight="true" outlineLevel="0" collapsed="false">
      <c r="A17" s="6" t="s">
        <v>11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5" t="s">
        <v>12</v>
      </c>
    </row>
    <row r="20" customFormat="false" ht="45.75" hidden="false" customHeight="true" outlineLevel="0" collapsed="false">
      <c r="A20" s="6" t="s">
        <v>13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5" t="s">
        <v>14</v>
      </c>
    </row>
    <row r="23" customFormat="false" ht="45.75" hidden="false" customHeight="true" outlineLevel="0" collapsed="false">
      <c r="A23" s="6" t="s">
        <v>15</v>
      </c>
    </row>
    <row r="25" customFormat="false" ht="15" hidden="false" customHeight="false" outlineLevel="0" collapsed="false">
      <c r="A25" s="7" t="s">
        <v>16</v>
      </c>
    </row>
    <row r="26" customFormat="false" ht="79.85" hidden="false" customHeight="false" outlineLevel="0" collapsed="false">
      <c r="A26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34"/>
    <col collapsed="false" customWidth="true" hidden="false" outlineLevel="0" max="6" min="6" style="1" width="46"/>
  </cols>
  <sheetData>
    <row r="1" customFormat="false" ht="17.25" hidden="false" customHeight="true" outlineLevel="0" collapsed="false">
      <c r="A1" s="8" t="s">
        <v>18</v>
      </c>
    </row>
    <row r="2" customFormat="false" ht="30" hidden="false" customHeight="true" outlineLevel="0" collapsed="false">
      <c r="A2" s="9" t="s">
        <v>19</v>
      </c>
      <c r="B2" s="9"/>
      <c r="C2" s="9"/>
      <c r="D2" s="9"/>
      <c r="E2" s="9"/>
      <c r="F2" s="9"/>
    </row>
    <row r="4" customFormat="false" ht="23.25" hidden="false" customHeight="true" outlineLevel="0" collapsed="false">
      <c r="A4" s="10" t="s">
        <v>20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</row>
    <row r="5" customFormat="false" ht="42" hidden="false" customHeight="true" outlineLevel="0" collapsed="false">
      <c r="A5" s="11" t="s">
        <v>26</v>
      </c>
      <c r="B5" s="12" t="n">
        <v>0.35</v>
      </c>
      <c r="C5" s="12" t="s">
        <v>27</v>
      </c>
      <c r="D5" s="12" t="s">
        <v>28</v>
      </c>
      <c r="E5" s="12" t="s">
        <v>29</v>
      </c>
      <c r="F5" s="13" t="s">
        <v>30</v>
      </c>
    </row>
    <row r="6" customFormat="false" ht="42" hidden="false" customHeight="true" outlineLevel="0" collapsed="false">
      <c r="A6" s="14" t="s">
        <v>31</v>
      </c>
      <c r="B6" s="15" t="n">
        <v>1</v>
      </c>
      <c r="C6" s="15" t="s">
        <v>27</v>
      </c>
      <c r="D6" s="15" t="s">
        <v>32</v>
      </c>
      <c r="E6" s="15" t="s">
        <v>33</v>
      </c>
      <c r="F6" s="16" t="s">
        <v>34</v>
      </c>
    </row>
    <row r="7" customFormat="false" ht="42" hidden="false" customHeight="true" outlineLevel="0" collapsed="false">
      <c r="A7" s="11" t="s">
        <v>35</v>
      </c>
      <c r="B7" s="12" t="n">
        <v>0.12</v>
      </c>
      <c r="C7" s="12" t="s">
        <v>27</v>
      </c>
      <c r="D7" s="12" t="s">
        <v>36</v>
      </c>
      <c r="E7" s="12" t="s">
        <v>37</v>
      </c>
      <c r="F7" s="13" t="s">
        <v>38</v>
      </c>
    </row>
    <row r="8" customFormat="false" ht="42" hidden="false" customHeight="true" outlineLevel="0" collapsed="false">
      <c r="A8" s="14" t="s">
        <v>39</v>
      </c>
      <c r="B8" s="15" t="n">
        <v>0.12</v>
      </c>
      <c r="C8" s="15" t="s">
        <v>27</v>
      </c>
      <c r="D8" s="15" t="s">
        <v>36</v>
      </c>
      <c r="E8" s="15" t="s">
        <v>40</v>
      </c>
      <c r="F8" s="16" t="s">
        <v>41</v>
      </c>
    </row>
    <row r="9" customFormat="false" ht="42" hidden="false" customHeight="true" outlineLevel="0" collapsed="false">
      <c r="A9" s="14" t="s">
        <v>42</v>
      </c>
      <c r="B9" s="15" t="n">
        <v>0.01</v>
      </c>
      <c r="C9" s="15" t="s">
        <v>27</v>
      </c>
      <c r="D9" s="15" t="s">
        <v>43</v>
      </c>
      <c r="E9" s="15" t="s">
        <v>44</v>
      </c>
      <c r="F9" s="16" t="s">
        <v>45</v>
      </c>
    </row>
    <row r="10" customFormat="false" ht="42" hidden="false" customHeight="true" outlineLevel="0" collapsed="false">
      <c r="A10" s="14" t="s">
        <v>46</v>
      </c>
      <c r="B10" s="15" t="n">
        <v>4</v>
      </c>
      <c r="C10" s="15" t="s">
        <v>47</v>
      </c>
      <c r="D10" s="15" t="s">
        <v>28</v>
      </c>
      <c r="E10" s="15" t="s">
        <v>48</v>
      </c>
      <c r="F10" s="16" t="s">
        <v>49</v>
      </c>
    </row>
    <row r="11" customFormat="false" ht="42" hidden="false" customHeight="true" outlineLevel="0" collapsed="false">
      <c r="A11" s="14" t="s">
        <v>50</v>
      </c>
      <c r="B11" s="15" t="n">
        <v>1</v>
      </c>
      <c r="C11" s="15" t="s">
        <v>27</v>
      </c>
      <c r="D11" s="15" t="s">
        <v>28</v>
      </c>
      <c r="E11" s="15" t="s">
        <v>51</v>
      </c>
      <c r="F11" s="16" t="s">
        <v>52</v>
      </c>
    </row>
    <row r="12" customFormat="false" ht="42" hidden="false" customHeight="true" outlineLevel="0" collapsed="false">
      <c r="A12" s="14" t="s">
        <v>53</v>
      </c>
      <c r="B12" s="15" t="n">
        <v>0.25</v>
      </c>
      <c r="C12" s="15" t="s">
        <v>54</v>
      </c>
      <c r="D12" s="15" t="s">
        <v>28</v>
      </c>
      <c r="E12" s="15" t="s">
        <v>55</v>
      </c>
      <c r="F12" s="16" t="s">
        <v>56</v>
      </c>
    </row>
    <row r="13" customFormat="false" ht="42" hidden="false" customHeight="true" outlineLevel="0" collapsed="false">
      <c r="A13" s="11" t="s">
        <v>57</v>
      </c>
      <c r="B13" s="12" t="n">
        <v>0.44</v>
      </c>
      <c r="C13" s="12" t="s">
        <v>54</v>
      </c>
      <c r="D13" s="12" t="s">
        <v>28</v>
      </c>
      <c r="E13" s="12" t="s">
        <v>58</v>
      </c>
      <c r="F13" s="13" t="s">
        <v>59</v>
      </c>
    </row>
    <row r="14" customFormat="false" ht="42" hidden="false" customHeight="true" outlineLevel="0" collapsed="false">
      <c r="A14" s="11" t="s">
        <v>60</v>
      </c>
      <c r="B14" s="12" t="n">
        <v>4</v>
      </c>
      <c r="C14" s="12" t="s">
        <v>28</v>
      </c>
      <c r="D14" s="12" t="s">
        <v>28</v>
      </c>
      <c r="E14" s="12" t="s">
        <v>61</v>
      </c>
      <c r="F14" s="13" t="s">
        <v>62</v>
      </c>
    </row>
    <row r="15" customFormat="false" ht="42" hidden="false" customHeight="true" outlineLevel="0" collapsed="false">
      <c r="A15" s="11" t="s">
        <v>63</v>
      </c>
      <c r="B15" s="12" t="n">
        <v>0.0056</v>
      </c>
      <c r="C15" s="12" t="s">
        <v>28</v>
      </c>
      <c r="D15" s="12" t="s">
        <v>28</v>
      </c>
      <c r="E15" s="12" t="s">
        <v>64</v>
      </c>
      <c r="F15" s="13" t="s">
        <v>65</v>
      </c>
    </row>
    <row r="16" customFormat="false" ht="42" hidden="false" customHeight="true" outlineLevel="0" collapsed="false">
      <c r="A16" s="11" t="s">
        <v>66</v>
      </c>
      <c r="B16" s="12" t="n">
        <v>50</v>
      </c>
      <c r="C16" s="12" t="s">
        <v>67</v>
      </c>
      <c r="D16" s="12" t="s">
        <v>28</v>
      </c>
      <c r="E16" s="12" t="s">
        <v>68</v>
      </c>
      <c r="F16" s="13" t="s">
        <v>69</v>
      </c>
    </row>
    <row r="17" customFormat="false" ht="42" hidden="false" customHeight="true" outlineLevel="0" collapsed="false">
      <c r="A17" s="14" t="s">
        <v>70</v>
      </c>
      <c r="B17" s="15" t="n">
        <v>50</v>
      </c>
      <c r="C17" s="15" t="s">
        <v>67</v>
      </c>
      <c r="D17" s="15" t="s">
        <v>28</v>
      </c>
      <c r="E17" s="15" t="s">
        <v>71</v>
      </c>
      <c r="F17" s="16" t="s">
        <v>72</v>
      </c>
    </row>
    <row r="18" customFormat="false" ht="42" hidden="false" customHeight="true" outlineLevel="0" collapsed="false">
      <c r="A18" s="11" t="s">
        <v>73</v>
      </c>
      <c r="B18" s="12" t="n">
        <v>7.39</v>
      </c>
      <c r="C18" s="12" t="s">
        <v>27</v>
      </c>
      <c r="D18" s="12" t="s">
        <v>28</v>
      </c>
      <c r="E18" s="12" t="s">
        <v>74</v>
      </c>
      <c r="F18" s="13" t="s">
        <v>75</v>
      </c>
    </row>
    <row r="19" customFormat="false" ht="42" hidden="false" customHeight="true" outlineLevel="0" collapsed="false">
      <c r="A19" s="11" t="s">
        <v>76</v>
      </c>
      <c r="B19" s="12" t="n">
        <v>2.46</v>
      </c>
      <c r="C19" s="12" t="s">
        <v>27</v>
      </c>
      <c r="D19" s="12" t="s">
        <v>28</v>
      </c>
      <c r="E19" s="12" t="s">
        <v>77</v>
      </c>
      <c r="F19" s="13" t="s">
        <v>78</v>
      </c>
    </row>
    <row r="20" customFormat="false" ht="42" hidden="false" customHeight="true" outlineLevel="0" collapsed="false">
      <c r="A20" s="11" t="s">
        <v>79</v>
      </c>
      <c r="B20" s="12" t="n">
        <v>1.37</v>
      </c>
      <c r="C20" s="12" t="s">
        <v>27</v>
      </c>
      <c r="D20" s="12" t="s">
        <v>28</v>
      </c>
      <c r="E20" s="12" t="s">
        <v>80</v>
      </c>
      <c r="F20" s="13" t="s">
        <v>81</v>
      </c>
    </row>
    <row r="21" customFormat="false" ht="42" hidden="false" customHeight="true" outlineLevel="0" collapsed="false">
      <c r="A21" s="11" t="s">
        <v>82</v>
      </c>
      <c r="B21" s="12" t="n">
        <v>0.173</v>
      </c>
      <c r="C21" s="12" t="s">
        <v>28</v>
      </c>
      <c r="D21" s="12" t="s">
        <v>28</v>
      </c>
      <c r="E21" s="12" t="s">
        <v>83</v>
      </c>
      <c r="F21" s="13" t="s">
        <v>84</v>
      </c>
    </row>
    <row r="22" customFormat="false" ht="42" hidden="false" customHeight="true" outlineLevel="0" collapsed="false">
      <c r="A22" s="11" t="s">
        <v>85</v>
      </c>
      <c r="B22" s="12" t="n">
        <v>1</v>
      </c>
      <c r="C22" s="12" t="s">
        <v>28</v>
      </c>
      <c r="D22" s="12" t="s">
        <v>28</v>
      </c>
      <c r="E22" s="12" t="s">
        <v>86</v>
      </c>
      <c r="F22" s="13" t="s">
        <v>87</v>
      </c>
    </row>
    <row r="23" customFormat="false" ht="42" hidden="false" customHeight="true" outlineLevel="0" collapsed="false">
      <c r="A23" s="11" t="s">
        <v>88</v>
      </c>
      <c r="B23" s="12" t="n">
        <v>271</v>
      </c>
      <c r="C23" s="12" t="s">
        <v>89</v>
      </c>
      <c r="D23" s="12" t="s">
        <v>28</v>
      </c>
      <c r="E23" s="12" t="s">
        <v>90</v>
      </c>
      <c r="F23" s="13" t="s">
        <v>91</v>
      </c>
    </row>
    <row r="24" customFormat="false" ht="42" hidden="false" customHeight="true" outlineLevel="0" collapsed="false">
      <c r="A24" s="11" t="s">
        <v>92</v>
      </c>
      <c r="B24" s="12" t="n">
        <v>1.7</v>
      </c>
      <c r="C24" s="12" t="s">
        <v>28</v>
      </c>
      <c r="D24" s="12" t="s">
        <v>28</v>
      </c>
      <c r="E24" s="12" t="s">
        <v>93</v>
      </c>
      <c r="F24" s="13" t="s">
        <v>94</v>
      </c>
    </row>
    <row r="25" customFormat="false" ht="42" hidden="false" customHeight="true" outlineLevel="0" collapsed="false">
      <c r="A25" s="11" t="s">
        <v>95</v>
      </c>
      <c r="B25" s="12" t="n">
        <v>2200</v>
      </c>
      <c r="C25" s="12" t="s">
        <v>96</v>
      </c>
      <c r="D25" s="12" t="s">
        <v>28</v>
      </c>
      <c r="E25" s="12" t="s">
        <v>97</v>
      </c>
      <c r="F25" s="13" t="s">
        <v>98</v>
      </c>
    </row>
    <row r="26" customFormat="false" ht="42" hidden="false" customHeight="true" outlineLevel="0" collapsed="false">
      <c r="A26" s="14" t="s">
        <v>99</v>
      </c>
      <c r="B26" s="15" t="n">
        <v>2</v>
      </c>
      <c r="C26" s="15" t="s">
        <v>28</v>
      </c>
      <c r="D26" s="15" t="s">
        <v>28</v>
      </c>
      <c r="E26" s="15" t="s">
        <v>100</v>
      </c>
      <c r="F26" s="16" t="s">
        <v>101</v>
      </c>
    </row>
    <row r="27" customFormat="false" ht="42" hidden="false" customHeight="true" outlineLevel="0" collapsed="false">
      <c r="A27" s="17" t="s">
        <v>102</v>
      </c>
      <c r="B27" s="18" t="n">
        <v>5</v>
      </c>
      <c r="C27" s="18" t="s">
        <v>67</v>
      </c>
      <c r="D27" s="18" t="s">
        <v>28</v>
      </c>
      <c r="E27" s="18" t="s">
        <v>103</v>
      </c>
      <c r="F27" s="19" t="s">
        <v>104</v>
      </c>
    </row>
    <row r="28" customFormat="false" ht="42" hidden="false" customHeight="true" outlineLevel="0" collapsed="false">
      <c r="A28" s="17" t="s">
        <v>105</v>
      </c>
      <c r="B28" s="18" t="n">
        <v>25</v>
      </c>
      <c r="C28" s="18" t="s">
        <v>67</v>
      </c>
      <c r="D28" s="18" t="s">
        <v>28</v>
      </c>
      <c r="E28" s="18" t="s">
        <v>106</v>
      </c>
      <c r="F28" s="19" t="s">
        <v>107</v>
      </c>
    </row>
    <row r="30" customFormat="false" ht="15" hidden="false" customHeight="true" outlineLevel="0" collapsed="false">
      <c r="A30" s="20" t="s">
        <v>108</v>
      </c>
    </row>
    <row r="31" customFormat="false" ht="15" hidden="false" customHeight="true" outlineLevel="0" collapsed="false">
      <c r="A31" s="21" t="s">
        <v>109</v>
      </c>
      <c r="B31" s="21"/>
      <c r="C31" s="21"/>
      <c r="D31" s="21"/>
      <c r="E31" s="21"/>
      <c r="F31" s="21"/>
    </row>
    <row r="32" customFormat="false" ht="15" hidden="false" customHeight="true" outlineLevel="0" collapsed="false">
      <c r="A32" s="22" t="s">
        <v>110</v>
      </c>
      <c r="B32" s="22"/>
      <c r="C32" s="22"/>
      <c r="D32" s="22"/>
      <c r="E32" s="22"/>
      <c r="F32" s="22"/>
    </row>
    <row r="33" customFormat="false" ht="15" hidden="false" customHeight="true" outlineLevel="0" collapsed="false">
      <c r="A33" s="23" t="s">
        <v>111</v>
      </c>
      <c r="B33" s="23"/>
      <c r="C33" s="23"/>
      <c r="D33" s="23"/>
      <c r="E33" s="23"/>
      <c r="F33" s="23"/>
    </row>
  </sheetData>
  <mergeCells count="4">
    <mergeCell ref="A2:F2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70"/>
  </cols>
  <sheetData>
    <row r="1" customFormat="false" ht="17.25" hidden="false" customHeight="true" outlineLevel="0" collapsed="false">
      <c r="A1" s="8" t="s">
        <v>112</v>
      </c>
    </row>
    <row r="2" customFormat="false" ht="48" hidden="false" customHeight="true" outlineLevel="0" collapsed="false">
      <c r="A2" s="24" t="s">
        <v>113</v>
      </c>
      <c r="B2" s="24"/>
      <c r="C2" s="24"/>
      <c r="D2" s="24"/>
      <c r="E2" s="24"/>
    </row>
    <row r="4" customFormat="false" ht="23.25" hidden="false" customHeight="true" outlineLevel="0" collapsed="false">
      <c r="A4" s="10" t="s">
        <v>114</v>
      </c>
      <c r="B4" s="10" t="s">
        <v>115</v>
      </c>
      <c r="C4" s="10" t="s">
        <v>116</v>
      </c>
      <c r="D4" s="10" t="s">
        <v>117</v>
      </c>
      <c r="E4" s="10" t="s">
        <v>118</v>
      </c>
    </row>
    <row r="5" customFormat="false" ht="15" hidden="false" customHeight="true" outlineLevel="0" collapsed="false">
      <c r="A5" s="25" t="n">
        <v>1</v>
      </c>
      <c r="B5" s="25" t="n">
        <v>10</v>
      </c>
      <c r="C5" s="25" t="n">
        <v>130</v>
      </c>
      <c r="D5" s="25" t="s">
        <v>119</v>
      </c>
      <c r="E5" s="26" t="s">
        <v>120</v>
      </c>
    </row>
    <row r="6" customFormat="false" ht="15" hidden="false" customHeight="true" outlineLevel="0" collapsed="false">
      <c r="A6" s="25" t="n">
        <v>2</v>
      </c>
      <c r="B6" s="25" t="n">
        <v>20</v>
      </c>
      <c r="C6" s="25" t="n">
        <v>260</v>
      </c>
      <c r="D6" s="25" t="s">
        <v>121</v>
      </c>
      <c r="E6" s="26"/>
    </row>
    <row r="7" customFormat="false" ht="15" hidden="false" customHeight="true" outlineLevel="0" collapsed="false">
      <c r="A7" s="25" t="n">
        <v>3</v>
      </c>
      <c r="B7" s="25" t="n">
        <v>40</v>
      </c>
      <c r="C7" s="25" t="n">
        <v>500</v>
      </c>
      <c r="D7" s="25" t="s">
        <v>122</v>
      </c>
      <c r="E7" s="26"/>
    </row>
    <row r="8" customFormat="false" ht="15" hidden="false" customHeight="true" outlineLevel="0" collapsed="false">
      <c r="A8" s="25" t="n">
        <v>4</v>
      </c>
      <c r="B8" s="25" t="n">
        <v>80</v>
      </c>
      <c r="C8" s="25" t="n">
        <v>900</v>
      </c>
      <c r="D8" s="25" t="s">
        <v>123</v>
      </c>
      <c r="E8" s="26"/>
    </row>
    <row r="9" customFormat="false" ht="15" hidden="false" customHeight="true" outlineLevel="0" collapsed="false">
      <c r="A9" s="25" t="n">
        <v>5</v>
      </c>
      <c r="B9" s="25" t="n">
        <v>150</v>
      </c>
      <c r="C9" s="25" t="n">
        <v>1500</v>
      </c>
      <c r="D9" s="25" t="s">
        <v>124</v>
      </c>
      <c r="E9" s="26"/>
    </row>
    <row r="10" customFormat="false" ht="15" hidden="false" customHeight="true" outlineLevel="0" collapsed="false">
      <c r="A10" s="15" t="n">
        <v>6</v>
      </c>
      <c r="B10" s="15" t="n">
        <v>271</v>
      </c>
      <c r="C10" s="15" t="n">
        <v>2200</v>
      </c>
      <c r="D10" s="15" t="s">
        <v>125</v>
      </c>
      <c r="E10" s="27" t="s">
        <v>126</v>
      </c>
    </row>
    <row r="11" customFormat="false" ht="15" hidden="false" customHeight="true" outlineLevel="0" collapsed="false">
      <c r="A11" s="25" t="n">
        <v>7</v>
      </c>
      <c r="B11" s="25" t="n">
        <v>400</v>
      </c>
      <c r="C11" s="25" t="n">
        <v>2800</v>
      </c>
      <c r="D11" s="25" t="s">
        <v>127</v>
      </c>
      <c r="E11" s="26"/>
    </row>
    <row r="12" customFormat="false" ht="15" hidden="false" customHeight="true" outlineLevel="0" collapsed="false">
      <c r="A12" s="18" t="n">
        <v>8</v>
      </c>
      <c r="B12" s="18" t="n">
        <v>600</v>
      </c>
      <c r="C12" s="18" t="n">
        <v>3300</v>
      </c>
      <c r="D12" s="18" t="s">
        <v>128</v>
      </c>
      <c r="E12" s="28" t="s">
        <v>129</v>
      </c>
    </row>
    <row r="14" customFormat="false" ht="15" hidden="false" customHeight="true" outlineLevel="0" collapsed="false">
      <c r="A14" s="20" t="s">
        <v>130</v>
      </c>
    </row>
    <row r="15" customFormat="false" ht="42" hidden="false" customHeight="true" outlineLevel="0" collapsed="false">
      <c r="A15" s="24" t="s">
        <v>131</v>
      </c>
      <c r="B15" s="24"/>
      <c r="C15" s="24"/>
      <c r="D15" s="24"/>
      <c r="E15" s="24"/>
    </row>
    <row r="16" customFormat="false" ht="42" hidden="false" customHeight="true" outlineLevel="0" collapsed="false">
      <c r="A16" s="24" t="s">
        <v>132</v>
      </c>
      <c r="B16" s="24"/>
      <c r="C16" s="24"/>
      <c r="D16" s="24"/>
      <c r="E16" s="24"/>
    </row>
    <row r="17" customFormat="false" ht="42" hidden="false" customHeight="true" outlineLevel="0" collapsed="false">
      <c r="A17" s="24" t="s">
        <v>133</v>
      </c>
      <c r="B17" s="24"/>
      <c r="C17" s="24"/>
      <c r="D17" s="24"/>
      <c r="E17" s="24"/>
    </row>
    <row r="18" customFormat="false" ht="42" hidden="false" customHeight="true" outlineLevel="0" collapsed="false">
      <c r="A18" s="24" t="s">
        <v>134</v>
      </c>
      <c r="B18" s="24"/>
      <c r="C18" s="24"/>
      <c r="D18" s="24"/>
      <c r="E18" s="24"/>
    </row>
  </sheetData>
  <mergeCells count="5">
    <mergeCell ref="A2:E2"/>
    <mergeCell ref="A15:E15"/>
    <mergeCell ref="A16:E16"/>
    <mergeCell ref="A17:E17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5" min="4" style="1" width="13"/>
    <col collapsed="false" customWidth="true" hidden="false" outlineLevel="0" max="6" min="6" style="1" width="14"/>
    <col collapsed="false" customWidth="true" hidden="false" outlineLevel="0" max="9" min="7" style="1" width="13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8" t="s">
        <v>135</v>
      </c>
    </row>
    <row r="2" customFormat="false" ht="45.75" hidden="false" customHeight="true" outlineLevel="0" collapsed="false">
      <c r="A2" s="24" t="s">
        <v>136</v>
      </c>
      <c r="B2" s="24"/>
      <c r="C2" s="24"/>
      <c r="D2" s="24"/>
      <c r="E2" s="24"/>
      <c r="F2" s="24"/>
      <c r="G2" s="24"/>
      <c r="H2" s="24"/>
      <c r="I2" s="24"/>
      <c r="J2" s="24"/>
    </row>
    <row r="4" customFormat="false" ht="15" hidden="false" customHeight="true" outlineLevel="0" collapsed="false">
      <c r="A4" s="29" t="s">
        <v>137</v>
      </c>
      <c r="B4" s="29"/>
      <c r="C4" s="29"/>
      <c r="D4" s="29"/>
      <c r="E4" s="29"/>
      <c r="F4" s="29"/>
      <c r="G4" s="29"/>
      <c r="H4" s="29"/>
      <c r="I4" s="29"/>
      <c r="J4" s="29"/>
    </row>
    <row r="5" customFormat="false" ht="23.25" hidden="false" customHeight="true" outlineLevel="0" collapsed="false">
      <c r="A5" s="10" t="s">
        <v>138</v>
      </c>
      <c r="B5" s="10" t="s">
        <v>139</v>
      </c>
      <c r="C5" s="10" t="s">
        <v>140</v>
      </c>
      <c r="D5" s="10" t="s">
        <v>141</v>
      </c>
      <c r="E5" s="10" t="s">
        <v>142</v>
      </c>
      <c r="F5" s="10" t="s">
        <v>143</v>
      </c>
      <c r="G5" s="10" t="s">
        <v>144</v>
      </c>
      <c r="H5" s="10" t="s">
        <v>145</v>
      </c>
      <c r="I5" s="10" t="s">
        <v>146</v>
      </c>
      <c r="J5" s="10" t="s">
        <v>147</v>
      </c>
    </row>
    <row r="6" customFormat="false" ht="15" hidden="false" customHeight="true" outlineLevel="0" collapsed="false">
      <c r="A6" s="25" t="s">
        <v>148</v>
      </c>
      <c r="B6" s="25" t="n">
        <v>0.022</v>
      </c>
      <c r="C6" s="25" t="n">
        <v>0.022</v>
      </c>
      <c r="D6" s="30" t="n">
        <v>1.6939</v>
      </c>
      <c r="E6" s="30" t="n">
        <v>0.9554</v>
      </c>
      <c r="F6" s="30" t="n">
        <v>2.5829</v>
      </c>
      <c r="G6" s="31" t="n">
        <f aca="false">IF(OR(E6="",E9=""),"",((E6-E9)/E9)/((B6-B9)/B9))</f>
        <v>0.000110165523699346</v>
      </c>
      <c r="H6" s="31" t="n">
        <f aca="false">IF(OR(D6="",D9=""),"",((D6-D9)/D9)/((B6-B9)/B9))</f>
        <v>-0.00468141416158997</v>
      </c>
      <c r="I6" s="31" t="n">
        <f aca="false">IF(OR(F6="",F9=""),"",((F6-F9)/F9)/((B6-B9)/B9))</f>
        <v>0.146622679862708</v>
      </c>
      <c r="J6" s="26"/>
    </row>
    <row r="7" customFormat="false" ht="15" hidden="false" customHeight="true" outlineLevel="0" collapsed="false">
      <c r="A7" s="25" t="s">
        <v>149</v>
      </c>
      <c r="B7" s="25" t="n">
        <v>0.066</v>
      </c>
      <c r="C7" s="25" t="n">
        <v>0.066</v>
      </c>
      <c r="D7" s="30" t="n">
        <v>1.6769</v>
      </c>
      <c r="E7" s="30" t="n">
        <v>0.9539</v>
      </c>
      <c r="F7" s="30" t="n">
        <v>2.8391</v>
      </c>
      <c r="G7" s="31" t="n">
        <f aca="false">IF(OR(E7="",E9=""),"",((E7-E9)/E9)/((B7-B9)/B9))</f>
        <v>0.00197001877674152</v>
      </c>
      <c r="H7" s="31" t="n">
        <f aca="false">IF(OR(D7="",D9=""),"",((D7-D9)/D9)/((B7-B9)/B9))</f>
        <v>0.00662741377385858</v>
      </c>
      <c r="I7" s="31" t="n">
        <f aca="false">IF(OR(F7="",F9=""),"",((F7-F9)/F9)/((B7-B9)/B9))</f>
        <v>0.0634319508069148</v>
      </c>
      <c r="J7" s="26"/>
    </row>
    <row r="8" customFormat="false" ht="21.75" hidden="false" customHeight="true" outlineLevel="0" collapsed="false">
      <c r="A8" s="12" t="s">
        <v>150</v>
      </c>
      <c r="B8" s="12" t="n">
        <v>0.33</v>
      </c>
      <c r="C8" s="12" t="n">
        <v>0.33</v>
      </c>
      <c r="D8" s="30" t="n">
        <v>1.6837</v>
      </c>
      <c r="E8" s="30" t="n">
        <v>0.955</v>
      </c>
      <c r="F8" s="30" t="n">
        <v>2.9882</v>
      </c>
      <c r="G8" s="31" t="n">
        <f aca="false">IF(OR(E8="",E9=""),"",((E8-E9)/E9)/((B8-B9)/B9))</f>
        <v>0.00209314495028804</v>
      </c>
      <c r="H8" s="31" t="n">
        <f aca="false">IF(OR(D8="",D9=""),"",((D8-D9)/D9)/((B8-B9)/B9))</f>
        <v>0.00640417457305485</v>
      </c>
      <c r="I8" s="31" t="n">
        <f aca="false">IF(OR(F8="",F9=""),"",((F8-F9)/F9)/((B8-B9)/B9))</f>
        <v>0.0169282548568765</v>
      </c>
      <c r="J8" s="26" t="s">
        <v>151</v>
      </c>
    </row>
    <row r="9" customFormat="false" ht="15" hidden="false" customHeight="true" outlineLevel="0" collapsed="false">
      <c r="A9" s="15" t="s">
        <v>152</v>
      </c>
      <c r="B9" s="15" t="n">
        <v>0.44</v>
      </c>
      <c r="C9" s="15" t="n">
        <v>0.44</v>
      </c>
      <c r="D9" s="30" t="n">
        <v>1.6864</v>
      </c>
      <c r="E9" s="30" t="n">
        <v>0.9555</v>
      </c>
      <c r="F9" s="30" t="n">
        <v>3.0009</v>
      </c>
      <c r="G9" s="32" t="s">
        <v>28</v>
      </c>
      <c r="H9" s="32" t="s">
        <v>28</v>
      </c>
      <c r="I9" s="32" t="s">
        <v>28</v>
      </c>
      <c r="J9" s="26" t="s">
        <v>153</v>
      </c>
    </row>
    <row r="10" customFormat="false" ht="15" hidden="false" customHeight="true" outlineLevel="0" collapsed="false">
      <c r="A10" s="25" t="s">
        <v>154</v>
      </c>
      <c r="B10" s="25" t="n">
        <v>1.32</v>
      </c>
      <c r="C10" s="25" t="n">
        <v>1.32</v>
      </c>
      <c r="D10" s="30" t="n">
        <v>1.6996</v>
      </c>
      <c r="E10" s="30" t="n">
        <v>0.9582</v>
      </c>
      <c r="F10" s="30" t="n">
        <v>2.9539</v>
      </c>
      <c r="G10" s="31" t="n">
        <f aca="false">IF(OR(E10="",E9=""),"",((E10-E9)/E9)/((B10-B9)/B9))</f>
        <v>0.00141287284144429</v>
      </c>
      <c r="H10" s="31" t="n">
        <f aca="false">IF(OR(D10="",D9=""),"",((D10-D9)/D9)/((B10-B9)/B9))</f>
        <v>0.00391366223908921</v>
      </c>
      <c r="I10" s="31" t="n">
        <f aca="false">IF(OR(F10="",F9=""),"",((F10-F9)/F9)/((B10-B9)/B9))</f>
        <v>-0.00783098403812192</v>
      </c>
      <c r="J10" s="26"/>
    </row>
    <row r="11" customFormat="false" ht="15" hidden="false" customHeight="true" outlineLevel="0" collapsed="false">
      <c r="A11" s="25" t="s">
        <v>155</v>
      </c>
      <c r="B11" s="25" t="n">
        <v>2.2</v>
      </c>
      <c r="C11" s="25" t="n">
        <v>2.2</v>
      </c>
      <c r="D11" s="30" t="n">
        <v>1.7059</v>
      </c>
      <c r="E11" s="30" t="n">
        <v>0.9598</v>
      </c>
      <c r="F11" s="30" t="n">
        <v>2.8412</v>
      </c>
      <c r="G11" s="31" t="n">
        <f aca="false">IF(OR(E11="",E9=""),"",((E11-E9)/E9)/((B11-B9)/B9))</f>
        <v>0.00112506541077969</v>
      </c>
      <c r="H11" s="31" t="n">
        <f aca="false">IF(OR(D11="",D9=""),"",((D11-D9)/D9)/((B11-B9)/B9))</f>
        <v>0.00289077324478179</v>
      </c>
      <c r="I11" s="31" t="n">
        <f aca="false">IF(OR(F11="",F9=""),"",((F11-F9)/F9)/((B11-B9)/B9))</f>
        <v>-0.0133043420307241</v>
      </c>
      <c r="J11" s="26"/>
    </row>
    <row r="14" customFormat="false" ht="15" hidden="false" customHeight="true" outlineLevel="0" collapsed="false">
      <c r="A14" s="29" t="s">
        <v>156</v>
      </c>
      <c r="B14" s="29"/>
      <c r="C14" s="29"/>
      <c r="D14" s="29"/>
      <c r="E14" s="29"/>
      <c r="F14" s="29"/>
      <c r="G14" s="29"/>
      <c r="H14" s="29"/>
      <c r="I14" s="29"/>
      <c r="J14" s="29"/>
    </row>
    <row r="15" customFormat="false" ht="23.25" hidden="false" customHeight="true" outlineLevel="0" collapsed="false">
      <c r="A15" s="10" t="s">
        <v>138</v>
      </c>
      <c r="B15" s="10" t="s">
        <v>139</v>
      </c>
      <c r="C15" s="10" t="s">
        <v>140</v>
      </c>
      <c r="D15" s="10" t="s">
        <v>141</v>
      </c>
      <c r="E15" s="10" t="s">
        <v>142</v>
      </c>
      <c r="F15" s="10" t="s">
        <v>143</v>
      </c>
      <c r="G15" s="10" t="s">
        <v>144</v>
      </c>
      <c r="H15" s="10" t="s">
        <v>145</v>
      </c>
      <c r="I15" s="10" t="s">
        <v>146</v>
      </c>
      <c r="J15" s="10" t="s">
        <v>147</v>
      </c>
    </row>
    <row r="16" customFormat="false" ht="15" hidden="false" customHeight="true" outlineLevel="0" collapsed="false">
      <c r="A16" s="25" t="s">
        <v>148</v>
      </c>
      <c r="B16" s="25" t="n">
        <v>0.022</v>
      </c>
      <c r="C16" s="25" t="n">
        <v>0.022</v>
      </c>
      <c r="D16" s="30" t="n">
        <v>1.9963</v>
      </c>
      <c r="E16" s="30" t="n">
        <v>0.9918</v>
      </c>
      <c r="F16" s="30" t="n">
        <v>2.3954</v>
      </c>
      <c r="G16" s="31" t="n">
        <f aca="false">IF(OR(E16="",E19=""),"",((E16-E19)/E19)/((B16-B19)/B19))</f>
        <v>0.000106122752187444</v>
      </c>
      <c r="H16" s="31" t="n">
        <f aca="false">IF(OR(D16="",D19=""),"",((D16-D19)/D19)/((B16-B19)/B19))</f>
        <v>-0.00609898385625494</v>
      </c>
      <c r="I16" s="31" t="n">
        <f aca="false">IF(OR(F16="",F19=""),"",((F16-F19)/F19)/((B16-B19)/B19))</f>
        <v>0.140277240846082</v>
      </c>
      <c r="J16" s="26"/>
    </row>
    <row r="17" customFormat="false" ht="15" hidden="false" customHeight="true" outlineLevel="0" collapsed="false">
      <c r="A17" s="25" t="s">
        <v>149</v>
      </c>
      <c r="B17" s="25" t="n">
        <v>0.066</v>
      </c>
      <c r="C17" s="25" t="n">
        <v>0.066</v>
      </c>
      <c r="D17" s="30" t="n">
        <v>1.974</v>
      </c>
      <c r="E17" s="30" t="n">
        <v>0.9916</v>
      </c>
      <c r="F17" s="30" t="n">
        <v>2.624</v>
      </c>
      <c r="G17" s="31" t="n">
        <f aca="false">IF(OR(E17="",E19=""),"",((E17-E19)/E19)/((B17-B19)/B19))</f>
        <v>0.000355823345569664</v>
      </c>
      <c r="H17" s="31" t="n">
        <f aca="false">IF(OR(D17="",D19=""),"",((D17-D19)/D19)/((B17-B19)/B19))</f>
        <v>0.00640159328543989</v>
      </c>
      <c r="I17" s="31" t="n">
        <f aca="false">IF(OR(F17="",F19=""),"",((F17-F19)/F19)/((B17-B19)/B19))</f>
        <v>0.0594684449022942</v>
      </c>
      <c r="J17" s="26"/>
    </row>
    <row r="18" customFormat="false" ht="21.75" hidden="false" customHeight="true" outlineLevel="0" collapsed="false">
      <c r="A18" s="12" t="s">
        <v>150</v>
      </c>
      <c r="B18" s="12" t="n">
        <v>0.33</v>
      </c>
      <c r="C18" s="12" t="n">
        <v>0.33</v>
      </c>
      <c r="D18" s="30" t="n">
        <v>1.9816</v>
      </c>
      <c r="E18" s="30" t="n">
        <v>0.9918</v>
      </c>
      <c r="F18" s="30" t="n">
        <v>2.7535</v>
      </c>
      <c r="G18" s="31" t="n">
        <f aca="false">IF(OR(E18="",E19=""),"",((E18-E19)/E19)/((B18-B19)/B19))</f>
        <v>0.000403266458312286</v>
      </c>
      <c r="H18" s="31" t="n">
        <f aca="false">IF(OR(D18="",D19=""),"",((D18-D19)/D19)/((B18-B19)/B19))</f>
        <v>0.00644901249496145</v>
      </c>
      <c r="I18" s="31" t="n">
        <f aca="false">IF(OR(F18="",F19=""),"",((F18-F19)/F19)/((B18-B19)/B19))</f>
        <v>0.0147628179614288</v>
      </c>
      <c r="J18" s="26" t="s">
        <v>151</v>
      </c>
    </row>
    <row r="19" customFormat="false" ht="15" hidden="false" customHeight="true" outlineLevel="0" collapsed="false">
      <c r="A19" s="15" t="s">
        <v>152</v>
      </c>
      <c r="B19" s="15" t="n">
        <v>0.44</v>
      </c>
      <c r="C19" s="15" t="n">
        <v>0.44</v>
      </c>
      <c r="D19" s="30" t="n">
        <v>1.9848</v>
      </c>
      <c r="E19" s="30" t="n">
        <v>0.9919</v>
      </c>
      <c r="F19" s="30" t="n">
        <v>2.7637</v>
      </c>
      <c r="G19" s="32" t="s">
        <v>28</v>
      </c>
      <c r="H19" s="32" t="s">
        <v>28</v>
      </c>
      <c r="I19" s="32" t="s">
        <v>28</v>
      </c>
      <c r="J19" s="26" t="s">
        <v>153</v>
      </c>
    </row>
    <row r="20" customFormat="false" ht="15" hidden="false" customHeight="true" outlineLevel="0" collapsed="false">
      <c r="A20" s="25" t="s">
        <v>154</v>
      </c>
      <c r="B20" s="25" t="n">
        <v>1.32</v>
      </c>
      <c r="C20" s="25" t="n">
        <v>1.32</v>
      </c>
      <c r="D20" s="30" t="n">
        <v>1.9999</v>
      </c>
      <c r="E20" s="30" t="n">
        <v>0.9925</v>
      </c>
      <c r="F20" s="30" t="n">
        <v>2.7163</v>
      </c>
      <c r="G20" s="31" t="n">
        <f aca="false">IF(OR(E20="",E19=""),"",((E20-E19)/E19)/((B20-B19)/B19))</f>
        <v>0.00030244984373427</v>
      </c>
      <c r="H20" s="31" t="n">
        <f aca="false">IF(OR(D20="",D19=""),"",((D20-D19)/D19)/((B20-B19)/B19))</f>
        <v>0.0038039097138251</v>
      </c>
      <c r="I20" s="31" t="n">
        <f aca="false">IF(OR(F20="",F19=""),"",((F20-F19)/F19)/((B20-B19)/B19))</f>
        <v>-0.00857546043347688</v>
      </c>
      <c r="J20" s="26"/>
    </row>
    <row r="21" customFormat="false" ht="15" hidden="false" customHeight="true" outlineLevel="0" collapsed="false">
      <c r="A21" s="25" t="s">
        <v>155</v>
      </c>
      <c r="B21" s="25" t="n">
        <v>2.2</v>
      </c>
      <c r="C21" s="25" t="n">
        <v>2.2</v>
      </c>
      <c r="D21" s="30" t="n">
        <v>2.0071</v>
      </c>
      <c r="E21" s="30" t="n">
        <v>0.9928</v>
      </c>
      <c r="F21" s="30" t="n">
        <v>2.6135</v>
      </c>
      <c r="G21" s="31" t="n">
        <f aca="false">IF(OR(E21="",E19=""),"",((E21-E19)/E19)/((B21-B19)/B19))</f>
        <v>0.000226837382800689</v>
      </c>
      <c r="H21" s="31" t="n">
        <f aca="false">IF(OR(D21="",D19=""),"",((D21-D19)/D19)/((B21-B19)/B19))</f>
        <v>0.00280884723901652</v>
      </c>
      <c r="I21" s="31" t="n">
        <f aca="false">IF(OR(F21="",F19=""),"",((F21-F19)/F19)/((B21-B19)/B19))</f>
        <v>-0.0135868581973441</v>
      </c>
      <c r="J21" s="26"/>
    </row>
    <row r="24" customFormat="false" ht="15" hidden="false" customHeight="true" outlineLevel="0" collapsed="false">
      <c r="A24" s="20" t="s">
        <v>157</v>
      </c>
    </row>
    <row r="25" customFormat="false" ht="75.75" hidden="false" customHeight="true" outlineLevel="0" collapsed="false">
      <c r="A25" s="24" t="s">
        <v>158</v>
      </c>
      <c r="B25" s="24"/>
      <c r="C25" s="24"/>
      <c r="D25" s="24"/>
      <c r="E25" s="24"/>
      <c r="F25" s="24"/>
      <c r="G25" s="24"/>
      <c r="H25" s="24"/>
      <c r="I25" s="24"/>
      <c r="J25" s="24"/>
    </row>
    <row r="27" customFormat="false" ht="15" hidden="false" customHeight="true" outlineLevel="0" collapsed="false">
      <c r="A27" s="20" t="s">
        <v>108</v>
      </c>
    </row>
    <row r="28" customFormat="false" ht="15" hidden="false" customHeight="true" outlineLevel="0" collapsed="false">
      <c r="A28" s="33" t="s">
        <v>159</v>
      </c>
      <c r="B28" s="33"/>
      <c r="C28" s="33"/>
      <c r="D28" s="33"/>
      <c r="E28" s="33"/>
      <c r="F28" s="33"/>
      <c r="G28" s="33"/>
      <c r="H28" s="33"/>
      <c r="I28" s="33"/>
      <c r="J28" s="33"/>
    </row>
    <row r="29" customFormat="false" ht="15" hidden="false" customHeight="true" outlineLevel="0" collapsed="false">
      <c r="A29" s="22" t="s">
        <v>160</v>
      </c>
      <c r="B29" s="22"/>
      <c r="C29" s="22"/>
      <c r="D29" s="22"/>
      <c r="E29" s="22"/>
      <c r="F29" s="22"/>
      <c r="G29" s="22"/>
      <c r="H29" s="22"/>
      <c r="I29" s="22"/>
      <c r="J29" s="22"/>
    </row>
    <row r="30" customFormat="false" ht="15" hidden="false" customHeight="true" outlineLevel="0" collapsed="false">
      <c r="A30" s="21" t="s">
        <v>161</v>
      </c>
      <c r="B30" s="21"/>
      <c r="C30" s="21"/>
      <c r="D30" s="21"/>
      <c r="E30" s="21"/>
      <c r="F30" s="21"/>
      <c r="G30" s="21"/>
      <c r="H30" s="21"/>
      <c r="I30" s="21"/>
      <c r="J30" s="21"/>
    </row>
  </sheetData>
  <mergeCells count="7">
    <mergeCell ref="A2:J2"/>
    <mergeCell ref="A4:J4"/>
    <mergeCell ref="A14:J14"/>
    <mergeCell ref="A25:J25"/>
    <mergeCell ref="A28:J28"/>
    <mergeCell ref="A29:J29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5" min="4" style="1" width="13"/>
    <col collapsed="false" customWidth="true" hidden="false" outlineLevel="0" max="6" min="6" style="1" width="14"/>
    <col collapsed="false" customWidth="true" hidden="false" outlineLevel="0" max="9" min="7" style="1" width="13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8" t="s">
        <v>162</v>
      </c>
    </row>
    <row r="2" customFormat="false" ht="45.75" hidden="false" customHeight="true" outlineLevel="0" collapsed="false">
      <c r="A2" s="24" t="s">
        <v>163</v>
      </c>
      <c r="B2" s="24"/>
      <c r="C2" s="24"/>
      <c r="D2" s="24"/>
      <c r="E2" s="24"/>
      <c r="F2" s="24"/>
      <c r="G2" s="24"/>
      <c r="H2" s="24"/>
      <c r="I2" s="24"/>
      <c r="J2" s="24"/>
    </row>
    <row r="4" customFormat="false" ht="15" hidden="false" customHeight="true" outlineLevel="0" collapsed="false">
      <c r="A4" s="29" t="s">
        <v>137</v>
      </c>
      <c r="B4" s="29"/>
      <c r="C4" s="29"/>
      <c r="D4" s="29"/>
      <c r="E4" s="29"/>
      <c r="F4" s="29"/>
      <c r="G4" s="29"/>
      <c r="H4" s="29"/>
      <c r="I4" s="29"/>
      <c r="J4" s="29"/>
    </row>
    <row r="5" customFormat="false" ht="23.25" hidden="false" customHeight="true" outlineLevel="0" collapsed="false">
      <c r="A5" s="10" t="s">
        <v>138</v>
      </c>
      <c r="B5" s="10" t="s">
        <v>139</v>
      </c>
      <c r="C5" s="10" t="s">
        <v>164</v>
      </c>
      <c r="D5" s="10" t="s">
        <v>141</v>
      </c>
      <c r="E5" s="10" t="s">
        <v>142</v>
      </c>
      <c r="F5" s="10" t="s">
        <v>143</v>
      </c>
      <c r="G5" s="10" t="s">
        <v>144</v>
      </c>
      <c r="H5" s="10" t="s">
        <v>145</v>
      </c>
      <c r="I5" s="10" t="s">
        <v>146</v>
      </c>
      <c r="J5" s="10" t="s">
        <v>147</v>
      </c>
    </row>
    <row r="6" customFormat="false" ht="15" hidden="false" customHeight="true" outlineLevel="0" collapsed="false">
      <c r="A6" s="25" t="s">
        <v>165</v>
      </c>
      <c r="B6" s="25" t="n">
        <v>0.0025</v>
      </c>
      <c r="C6" s="25" t="n">
        <v>0.01</v>
      </c>
      <c r="D6" s="30" t="n">
        <v>1.6939</v>
      </c>
      <c r="E6" s="30" t="n">
        <v>0.9573</v>
      </c>
      <c r="F6" s="30" t="n">
        <v>3.3474</v>
      </c>
      <c r="G6" s="31" t="n">
        <f aca="false">IF(OR(E6="",E9=""),"",((E6-E9)/E9)/((B6-B9)/B9))</f>
        <v>-0.00190285904571621</v>
      </c>
      <c r="H6" s="31" t="n">
        <f aca="false">IF(OR(D6="",D9=""),"",((D6-D9)/D9)/((B6-B9)/B9))</f>
        <v>-0.00449226611465704</v>
      </c>
      <c r="I6" s="31" t="n">
        <f aca="false">IF(OR(F6="",F9=""),"",((F6-F9)/F9)/((B6-B9)/B9))</f>
        <v>-0.116631677163518</v>
      </c>
      <c r="J6" s="26"/>
    </row>
    <row r="7" customFormat="false" ht="15" hidden="false" customHeight="true" outlineLevel="0" collapsed="false">
      <c r="A7" s="25" t="s">
        <v>166</v>
      </c>
      <c r="B7" s="25" t="n">
        <v>0.025</v>
      </c>
      <c r="C7" s="25" t="n">
        <v>0.1</v>
      </c>
      <c r="D7" s="30" t="n">
        <v>1.6927</v>
      </c>
      <c r="E7" s="30" t="n">
        <v>0.9569</v>
      </c>
      <c r="F7" s="30" t="n">
        <v>3.2976</v>
      </c>
      <c r="G7" s="31" t="n">
        <f aca="false">IF(OR(E7="",E9=""),"",((E7-E9)/E9)/((B7-B9)/B9))</f>
        <v>-0.00162800162800158</v>
      </c>
      <c r="H7" s="31" t="n">
        <f aca="false">IF(OR(D7="",D9=""),"",((D7-D9)/D9)/((B7-B9)/B9))</f>
        <v>-0.0041508538899432</v>
      </c>
      <c r="I7" s="31" t="n">
        <f aca="false">IF(OR(F7="",F9=""),"",((F7-F9)/F9)/((B7-B9)/B9))</f>
        <v>-0.109855932109256</v>
      </c>
      <c r="J7" s="26"/>
    </row>
    <row r="8" customFormat="false" ht="21.75" hidden="false" customHeight="true" outlineLevel="0" collapsed="false">
      <c r="A8" s="12" t="s">
        <v>150</v>
      </c>
      <c r="B8" s="12" t="n">
        <v>0.1875</v>
      </c>
      <c r="C8" s="12" t="n">
        <v>0.75</v>
      </c>
      <c r="D8" s="30" t="n">
        <v>1.6874</v>
      </c>
      <c r="E8" s="30" t="n">
        <v>0.9557</v>
      </c>
      <c r="F8" s="30" t="n">
        <v>3.0621</v>
      </c>
      <c r="G8" s="31" t="n">
        <f aca="false">IF(OR(E8="",E9=""),"",((E8-E9)/E9)/((B8-B9)/B9))</f>
        <v>-0.000837257980115031</v>
      </c>
      <c r="H8" s="31" t="n">
        <f aca="false">IF(OR(D8="",D9=""),"",((D8-D9)/D9)/((B8-B9)/B9))</f>
        <v>-0.00237191650853917</v>
      </c>
      <c r="I8" s="31" t="n">
        <f aca="false">IF(OR(F8="",F9=""),"",((F8-F9)/F9)/((B8-B9)/B9))</f>
        <v>-0.0815755273417974</v>
      </c>
      <c r="J8" s="26" t="s">
        <v>151</v>
      </c>
    </row>
    <row r="9" customFormat="false" ht="21.75" hidden="false" customHeight="true" outlineLevel="0" collapsed="false">
      <c r="A9" s="15" t="s">
        <v>152</v>
      </c>
      <c r="B9" s="15" t="n">
        <v>0.25</v>
      </c>
      <c r="C9" s="15" t="n">
        <v>1</v>
      </c>
      <c r="D9" s="30" t="n">
        <v>1.6864</v>
      </c>
      <c r="E9" s="30" t="n">
        <v>0.9555</v>
      </c>
      <c r="F9" s="30" t="n">
        <v>3.0009</v>
      </c>
      <c r="G9" s="32" t="s">
        <v>28</v>
      </c>
      <c r="H9" s="32" t="s">
        <v>28</v>
      </c>
      <c r="I9" s="32" t="s">
        <v>28</v>
      </c>
      <c r="J9" s="26" t="s">
        <v>167</v>
      </c>
    </row>
    <row r="10" customFormat="false" ht="15" hidden="false" customHeight="true" outlineLevel="0" collapsed="false">
      <c r="A10" s="25" t="s">
        <v>168</v>
      </c>
      <c r="B10" s="25" t="n">
        <v>2.5</v>
      </c>
      <c r="C10" s="25" t="n">
        <v>10</v>
      </c>
      <c r="D10" s="30" t="n">
        <v>1.6877</v>
      </c>
      <c r="E10" s="30" t="n">
        <v>0.9562</v>
      </c>
      <c r="F10" s="30" t="n">
        <v>2.1956</v>
      </c>
      <c r="G10" s="31" t="n">
        <f aca="false">IF(OR(E10="",E9=""),"",((E10-E9)/E9)/((B10-B9)/B9))</f>
        <v>8.14000814000853E-005</v>
      </c>
      <c r="H10" s="31" t="n">
        <f aca="false">IF(OR(D10="",D9=""),"",((D10-D9)/D9)/((B10-B9)/B9))</f>
        <v>8.56525405861321E-005</v>
      </c>
      <c r="I10" s="31" t="n">
        <f aca="false">IF(OR(F10="",F9=""),"",((F10-F9)/F9)/((B10-B9)/B9))</f>
        <v>-0.0298169808316764</v>
      </c>
      <c r="J10" s="26"/>
    </row>
    <row r="11" customFormat="false" ht="15" hidden="false" customHeight="true" outlineLevel="0" collapsed="false">
      <c r="A11" s="25" t="s">
        <v>169</v>
      </c>
      <c r="B11" s="25" t="n">
        <v>25</v>
      </c>
      <c r="C11" s="25" t="n">
        <v>100</v>
      </c>
      <c r="D11" s="30" t="n">
        <v>1.699</v>
      </c>
      <c r="E11" s="30" t="n">
        <v>0.9609</v>
      </c>
      <c r="F11" s="30" t="n">
        <v>1.2766</v>
      </c>
      <c r="G11" s="31" t="n">
        <f aca="false">IF(OR(E11="",E9=""),"",((E11-E9)/E9)/((B11-B9)/B9))</f>
        <v>5.70857713714852E-005</v>
      </c>
      <c r="H11" s="31" t="n">
        <f aca="false">IF(OR(D11="",D9=""),"",((D11-D9)/D9)/((B11-B9)/B9))</f>
        <v>7.54700707262387E-005</v>
      </c>
      <c r="I11" s="31" t="n">
        <f aca="false">IF(OR(F11="",F9=""),"",((F11-F9)/F9)/((B11-B9)/B9))</f>
        <v>-0.00580398271091063</v>
      </c>
      <c r="J11" s="26"/>
    </row>
    <row r="14" customFormat="false" ht="15" hidden="false" customHeight="true" outlineLevel="0" collapsed="false">
      <c r="A14" s="29" t="s">
        <v>156</v>
      </c>
      <c r="B14" s="29"/>
      <c r="C14" s="29"/>
      <c r="D14" s="29"/>
      <c r="E14" s="29"/>
      <c r="F14" s="29"/>
      <c r="G14" s="29"/>
      <c r="H14" s="29"/>
      <c r="I14" s="29"/>
      <c r="J14" s="29"/>
    </row>
    <row r="15" customFormat="false" ht="23.25" hidden="false" customHeight="true" outlineLevel="0" collapsed="false">
      <c r="A15" s="10" t="s">
        <v>138</v>
      </c>
      <c r="B15" s="10" t="s">
        <v>139</v>
      </c>
      <c r="C15" s="10" t="s">
        <v>164</v>
      </c>
      <c r="D15" s="10" t="s">
        <v>141</v>
      </c>
      <c r="E15" s="10" t="s">
        <v>142</v>
      </c>
      <c r="F15" s="10" t="s">
        <v>143</v>
      </c>
      <c r="G15" s="10" t="s">
        <v>144</v>
      </c>
      <c r="H15" s="10" t="s">
        <v>145</v>
      </c>
      <c r="I15" s="10" t="s">
        <v>146</v>
      </c>
      <c r="J15" s="10" t="s">
        <v>147</v>
      </c>
    </row>
    <row r="16" customFormat="false" ht="15" hidden="false" customHeight="true" outlineLevel="0" collapsed="false">
      <c r="A16" s="25" t="s">
        <v>165</v>
      </c>
      <c r="B16" s="25" t="n">
        <v>0.0025</v>
      </c>
      <c r="C16" s="25" t="n">
        <v>0.01</v>
      </c>
      <c r="D16" s="30" t="n">
        <v>1.9932</v>
      </c>
      <c r="E16" s="30" t="n">
        <v>0.9923</v>
      </c>
      <c r="F16" s="30" t="n">
        <v>3.0644</v>
      </c>
      <c r="G16" s="31" t="n">
        <f aca="false">IF(OR(E16="",E19=""),"",((E16-E19)/E19)/((B16-B19)/B19))</f>
        <v>-0.000407339856881096</v>
      </c>
      <c r="H16" s="31" t="n">
        <f aca="false">IF(OR(D16="",D19=""),"",((D16-D19)/D19)/((B16-B19)/B19))</f>
        <v>-0.00427491358567547</v>
      </c>
      <c r="I16" s="31" t="n">
        <f aca="false">IF(OR(F16="",F19=""),"",((F16-F19)/F19)/((B16-B19)/B19))</f>
        <v>-0.109902440111942</v>
      </c>
      <c r="J16" s="26"/>
    </row>
    <row r="17" customFormat="false" ht="15" hidden="false" customHeight="true" outlineLevel="0" collapsed="false">
      <c r="A17" s="25" t="s">
        <v>166</v>
      </c>
      <c r="B17" s="25" t="n">
        <v>0.025</v>
      </c>
      <c r="C17" s="25" t="n">
        <v>0.1</v>
      </c>
      <c r="D17" s="30" t="n">
        <v>1.9917</v>
      </c>
      <c r="E17" s="30" t="n">
        <v>0.9923</v>
      </c>
      <c r="F17" s="30" t="n">
        <v>3.0216</v>
      </c>
      <c r="G17" s="31" t="n">
        <f aca="false">IF(OR(E17="",E19=""),"",((E17-E19)/E19)/((B17-B19)/B19))</f>
        <v>-0.000448073842569206</v>
      </c>
      <c r="H17" s="31" t="n">
        <f aca="false">IF(OR(D17="",D19=""),"",((D17-D19)/D19)/((B17-B19)/B19))</f>
        <v>-0.00386268977562818</v>
      </c>
      <c r="I17" s="31" t="n">
        <f aca="false">IF(OR(F17="",F19=""),"",((F17-F19)/F19)/((B17-B19)/B19))</f>
        <v>-0.103685478002517</v>
      </c>
      <c r="J17" s="26"/>
    </row>
    <row r="18" customFormat="false" ht="21.75" hidden="false" customHeight="true" outlineLevel="0" collapsed="false">
      <c r="A18" s="12" t="s">
        <v>150</v>
      </c>
      <c r="B18" s="12" t="n">
        <v>0.1875</v>
      </c>
      <c r="C18" s="12" t="n">
        <v>0.75</v>
      </c>
      <c r="D18" s="30" t="n">
        <v>1.9859</v>
      </c>
      <c r="E18" s="30" t="n">
        <v>0.992</v>
      </c>
      <c r="F18" s="30" t="n">
        <v>2.8172</v>
      </c>
      <c r="G18" s="31" t="n">
        <f aca="false">IF(OR(E18="",E19=""),"",((E18-E19)/E19)/((B18-B19)/B19))</f>
        <v>-0.000403266458312286</v>
      </c>
      <c r="H18" s="31" t="n">
        <f aca="false">IF(OR(D18="",D19=""),"",((D18-D19)/D19)/((B18-B19)/B19))</f>
        <v>-0.00221684804514329</v>
      </c>
      <c r="I18" s="31" t="n">
        <f aca="false">IF(OR(F18="",F19=""),"",((F18-F19)/F19)/((B18-B19)/B19))</f>
        <v>-0.077432427542787</v>
      </c>
      <c r="J18" s="26" t="s">
        <v>151</v>
      </c>
    </row>
    <row r="19" customFormat="false" ht="21.75" hidden="false" customHeight="true" outlineLevel="0" collapsed="false">
      <c r="A19" s="15" t="s">
        <v>152</v>
      </c>
      <c r="B19" s="15" t="n">
        <v>0.25</v>
      </c>
      <c r="C19" s="15" t="n">
        <v>1</v>
      </c>
      <c r="D19" s="30" t="n">
        <v>1.9848</v>
      </c>
      <c r="E19" s="30" t="n">
        <v>0.9919</v>
      </c>
      <c r="F19" s="30" t="n">
        <v>2.7637</v>
      </c>
      <c r="G19" s="32" t="s">
        <v>28</v>
      </c>
      <c r="H19" s="32" t="s">
        <v>28</v>
      </c>
      <c r="I19" s="32" t="s">
        <v>28</v>
      </c>
      <c r="J19" s="26" t="s">
        <v>167</v>
      </c>
    </row>
    <row r="20" customFormat="false" ht="15" hidden="false" customHeight="true" outlineLevel="0" collapsed="false">
      <c r="A20" s="25" t="s">
        <v>168</v>
      </c>
      <c r="B20" s="25" t="n">
        <v>2.5</v>
      </c>
      <c r="C20" s="25" t="n">
        <v>10</v>
      </c>
      <c r="D20" s="30" t="n">
        <v>1.9866</v>
      </c>
      <c r="E20" s="30" t="n">
        <v>0.9921</v>
      </c>
      <c r="F20" s="30" t="n">
        <v>2.0526</v>
      </c>
      <c r="G20" s="31" t="n">
        <f aca="false">IF(OR(E20="",E19=""),"",((E20-E19)/E19)/((B20-B19)/B19))</f>
        <v>2.24036921284603E-005</v>
      </c>
      <c r="H20" s="31" t="n">
        <f aca="false">IF(OR(D20="",D19=""),"",((D20-D19)/D19)/((B20-B19)/B19))</f>
        <v>0.000100765820233778</v>
      </c>
      <c r="I20" s="31" t="n">
        <f aca="false">IF(OR(F20="",F19=""),"",((F20-F19)/F19)/((B20-B19)/B19))</f>
        <v>-0.0285888884868514</v>
      </c>
      <c r="J20" s="26"/>
    </row>
    <row r="21" customFormat="false" ht="15" hidden="false" customHeight="true" outlineLevel="0" collapsed="false">
      <c r="A21" s="25" t="s">
        <v>169</v>
      </c>
      <c r="B21" s="25" t="n">
        <v>25</v>
      </c>
      <c r="C21" s="25" t="n">
        <v>100</v>
      </c>
      <c r="D21" s="30" t="n">
        <v>1.999</v>
      </c>
      <c r="E21" s="30" t="n">
        <v>0.9931</v>
      </c>
      <c r="F21" s="30" t="n">
        <v>1.2419</v>
      </c>
      <c r="G21" s="31" t="n">
        <f aca="false">IF(OR(E21="",E19=""),"",((E21-E19)/E19)/((B21-B19)/B19))</f>
        <v>1.2220195706434E-005</v>
      </c>
      <c r="H21" s="31" t="n">
        <f aca="false">IF(OR(D21="",D19=""),"",((D21-D19)/D19)/((B21-B19)/B19))</f>
        <v>7.22663963292753E-005</v>
      </c>
      <c r="I21" s="31" t="n">
        <f aca="false">IF(OR(F21="",F19=""),"",((F21-F19)/F19)/((B21-B19)/B19))</f>
        <v>-0.00556200643040749</v>
      </c>
      <c r="J21" s="26"/>
    </row>
    <row r="24" customFormat="false" ht="15" hidden="false" customHeight="true" outlineLevel="0" collapsed="false">
      <c r="A24" s="20" t="s">
        <v>157</v>
      </c>
    </row>
    <row r="25" customFormat="false" ht="75.75" hidden="false" customHeight="true" outlineLevel="0" collapsed="false">
      <c r="A25" s="24" t="s">
        <v>170</v>
      </c>
      <c r="B25" s="24"/>
      <c r="C25" s="24"/>
      <c r="D25" s="24"/>
      <c r="E25" s="24"/>
      <c r="F25" s="24"/>
      <c r="G25" s="24"/>
      <c r="H25" s="24"/>
      <c r="I25" s="24"/>
      <c r="J25" s="24"/>
    </row>
    <row r="27" customFormat="false" ht="15" hidden="false" customHeight="true" outlineLevel="0" collapsed="false">
      <c r="A27" s="20" t="s">
        <v>108</v>
      </c>
    </row>
    <row r="28" customFormat="false" ht="15" hidden="false" customHeight="true" outlineLevel="0" collapsed="false">
      <c r="A28" s="33" t="s">
        <v>159</v>
      </c>
      <c r="B28" s="33"/>
      <c r="C28" s="33"/>
      <c r="D28" s="33"/>
      <c r="E28" s="33"/>
      <c r="F28" s="33"/>
      <c r="G28" s="33"/>
      <c r="H28" s="33"/>
      <c r="I28" s="33"/>
      <c r="J28" s="33"/>
    </row>
    <row r="29" customFormat="false" ht="15" hidden="false" customHeight="true" outlineLevel="0" collapsed="false">
      <c r="A29" s="22" t="s">
        <v>160</v>
      </c>
      <c r="B29" s="22"/>
      <c r="C29" s="22"/>
      <c r="D29" s="22"/>
      <c r="E29" s="22"/>
      <c r="F29" s="22"/>
      <c r="G29" s="22"/>
      <c r="H29" s="22"/>
      <c r="I29" s="22"/>
      <c r="J29" s="22"/>
    </row>
    <row r="30" customFormat="false" ht="15" hidden="false" customHeight="true" outlineLevel="0" collapsed="false">
      <c r="A30" s="21" t="s">
        <v>161</v>
      </c>
      <c r="B30" s="21"/>
      <c r="C30" s="21"/>
      <c r="D30" s="21"/>
      <c r="E30" s="21"/>
      <c r="F30" s="21"/>
      <c r="G30" s="21"/>
      <c r="H30" s="21"/>
      <c r="I30" s="21"/>
      <c r="J30" s="21"/>
    </row>
  </sheetData>
  <mergeCells count="7">
    <mergeCell ref="A2:J2"/>
    <mergeCell ref="A4:J4"/>
    <mergeCell ref="A14:J14"/>
    <mergeCell ref="A25:J25"/>
    <mergeCell ref="A28:J28"/>
    <mergeCell ref="A29:J29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5" min="4" style="1" width="13"/>
    <col collapsed="false" customWidth="true" hidden="false" outlineLevel="0" max="6" min="6" style="1" width="14"/>
    <col collapsed="false" customWidth="true" hidden="false" outlineLevel="0" max="9" min="7" style="1" width="13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8" t="s">
        <v>171</v>
      </c>
    </row>
    <row r="2" customFormat="false" ht="45.75" hidden="false" customHeight="true" outlineLevel="0" collapsed="false">
      <c r="A2" s="24" t="s">
        <v>172</v>
      </c>
      <c r="B2" s="24"/>
      <c r="C2" s="24"/>
      <c r="D2" s="24"/>
      <c r="E2" s="24"/>
      <c r="F2" s="24"/>
      <c r="G2" s="24"/>
      <c r="H2" s="24"/>
      <c r="I2" s="24"/>
      <c r="J2" s="24"/>
    </row>
    <row r="4" customFormat="false" ht="15" hidden="false" customHeight="true" outlineLevel="0" collapsed="false">
      <c r="A4" s="29" t="s">
        <v>137</v>
      </c>
      <c r="B4" s="29"/>
      <c r="C4" s="29"/>
      <c r="D4" s="29"/>
      <c r="E4" s="29"/>
      <c r="F4" s="29"/>
      <c r="G4" s="29"/>
      <c r="H4" s="29"/>
      <c r="I4" s="29"/>
      <c r="J4" s="29"/>
    </row>
    <row r="5" customFormat="false" ht="23.25" hidden="false" customHeight="true" outlineLevel="0" collapsed="false">
      <c r="A5" s="10" t="s">
        <v>138</v>
      </c>
      <c r="B5" s="10" t="s">
        <v>139</v>
      </c>
      <c r="C5" s="10" t="s">
        <v>173</v>
      </c>
      <c r="D5" s="10" t="s">
        <v>141</v>
      </c>
      <c r="E5" s="10" t="s">
        <v>142</v>
      </c>
      <c r="F5" s="10" t="s">
        <v>143</v>
      </c>
      <c r="G5" s="10" t="s">
        <v>144</v>
      </c>
      <c r="H5" s="10" t="s">
        <v>145</v>
      </c>
      <c r="I5" s="10" t="s">
        <v>146</v>
      </c>
      <c r="J5" s="10" t="s">
        <v>147</v>
      </c>
    </row>
    <row r="6" customFormat="false" ht="15" hidden="false" customHeight="true" outlineLevel="0" collapsed="false">
      <c r="A6" s="25" t="s">
        <v>174</v>
      </c>
      <c r="B6" s="25" t="n">
        <v>2</v>
      </c>
      <c r="C6" s="25" t="n">
        <v>2</v>
      </c>
      <c r="D6" s="30" t="n">
        <v>1.6889</v>
      </c>
      <c r="E6" s="30" t="n">
        <v>0.9503</v>
      </c>
      <c r="F6" s="30" t="n">
        <v>2.6288</v>
      </c>
      <c r="G6" s="31" t="n">
        <f aca="false">IF(OR(E6="",E10=""),"",((E6-E10)/E10)/((B6-B10)/B10))</f>
        <v>0.0108843537414966</v>
      </c>
      <c r="H6" s="31" t="n">
        <f aca="false">IF(OR(D6="",D10=""),"",((D6-D10)/D10)/((B6-B10)/B10))</f>
        <v>-0.00296489563567382</v>
      </c>
      <c r="I6" s="31" t="n">
        <f aca="false">IF(OR(F6="",F10=""),"",((F6-F10)/F10)/((B6-B10)/B10))</f>
        <v>0.247992268985971</v>
      </c>
      <c r="J6" s="26"/>
    </row>
    <row r="7" customFormat="false" ht="15" hidden="false" customHeight="true" outlineLevel="0" collapsed="false">
      <c r="A7" s="25" t="s">
        <v>175</v>
      </c>
      <c r="B7" s="25" t="n">
        <v>2.5</v>
      </c>
      <c r="C7" s="25" t="n">
        <v>2.5</v>
      </c>
      <c r="D7" s="30" t="n">
        <v>1.6863</v>
      </c>
      <c r="E7" s="30" t="n">
        <v>0.9521</v>
      </c>
      <c r="F7" s="30" t="n">
        <v>2.755</v>
      </c>
      <c r="G7" s="31" t="n">
        <f aca="false">IF(OR(E7="",E10=""),"",((E7-E10)/E10)/((B7-B10)/B10))</f>
        <v>0.00948892377463825</v>
      </c>
      <c r="H7" s="31" t="n">
        <f aca="false">IF(OR(D7="",D10=""),"",((D7-D10)/D10)/((B7-B10)/B10))</f>
        <v>0.000158127767235909</v>
      </c>
      <c r="I7" s="31" t="n">
        <f aca="false">IF(OR(F7="",F10=""),"",((F7-F10)/F10)/((B7-B10)/B10))</f>
        <v>0.218512224110545</v>
      </c>
      <c r="J7" s="26"/>
    </row>
    <row r="8" customFormat="false" ht="21.75" hidden="false" customHeight="true" outlineLevel="0" collapsed="false">
      <c r="A8" s="12" t="s">
        <v>176</v>
      </c>
      <c r="B8" s="12" t="n">
        <v>3</v>
      </c>
      <c r="C8" s="12" t="n">
        <v>3</v>
      </c>
      <c r="D8" s="30" t="n">
        <v>1.6857</v>
      </c>
      <c r="E8" s="30" t="n">
        <v>0.9535</v>
      </c>
      <c r="F8" s="30" t="n">
        <v>2.854</v>
      </c>
      <c r="G8" s="31" t="n">
        <f aca="false">IF(OR(E8="",E10=""),"",((E8-E10)/E10)/((B8-B10)/B10))</f>
        <v>0.00837257980115124</v>
      </c>
      <c r="H8" s="31" t="n">
        <f aca="false">IF(OR(D8="",D10=""),"",((D8-D10)/D10)/((B8-B10)/B10))</f>
        <v>0.00166034155597705</v>
      </c>
      <c r="I8" s="31" t="n">
        <f aca="false">IF(OR(F8="",F10=""),"",((F8-F10)/F10)/((B8-B10)/B10))</f>
        <v>0.19580792428938</v>
      </c>
      <c r="J8" s="26" t="s">
        <v>151</v>
      </c>
    </row>
    <row r="9" customFormat="false" ht="15" hidden="false" customHeight="true" outlineLevel="0" collapsed="false">
      <c r="A9" s="25" t="s">
        <v>177</v>
      </c>
      <c r="B9" s="25" t="n">
        <v>3.5</v>
      </c>
      <c r="C9" s="25" t="n">
        <v>3.5</v>
      </c>
      <c r="D9" s="30" t="n">
        <v>1.6859</v>
      </c>
      <c r="E9" s="30" t="n">
        <v>0.9546</v>
      </c>
      <c r="F9" s="30" t="n">
        <v>2.9343</v>
      </c>
      <c r="G9" s="31" t="n">
        <f aca="false">IF(OR(E9="",E10=""),"",((E9-E10)/E10)/((B9-B10)/B10))</f>
        <v>0.00753532182103621</v>
      </c>
      <c r="H9" s="31" t="n">
        <f aca="false">IF(OR(D9="",D10=""),"",((D9-D10)/D10)/((B9-B10)/B10))</f>
        <v>0.00237191650853864</v>
      </c>
      <c r="I9" s="31" t="n">
        <f aca="false">IF(OR(F9="",F10=""),"",((F9-F10)/F10)/((B9-B10)/B10))</f>
        <v>0.177546735979207</v>
      </c>
      <c r="J9" s="26"/>
    </row>
    <row r="10" customFormat="false" ht="15" hidden="false" customHeight="true" outlineLevel="0" collapsed="false">
      <c r="A10" s="15" t="s">
        <v>178</v>
      </c>
      <c r="B10" s="15" t="n">
        <v>4</v>
      </c>
      <c r="C10" s="15" t="n">
        <v>4</v>
      </c>
      <c r="D10" s="30" t="n">
        <v>1.6864</v>
      </c>
      <c r="E10" s="30" t="n">
        <v>0.9555</v>
      </c>
      <c r="F10" s="30" t="n">
        <v>3.0009</v>
      </c>
      <c r="G10" s="32" t="s">
        <v>28</v>
      </c>
      <c r="H10" s="32" t="s">
        <v>28</v>
      </c>
      <c r="I10" s="32" t="s">
        <v>28</v>
      </c>
      <c r="J10" s="26" t="s">
        <v>153</v>
      </c>
    </row>
    <row r="13" customFormat="false" ht="15" hidden="false" customHeight="true" outlineLevel="0" collapsed="false">
      <c r="A13" s="29" t="s">
        <v>156</v>
      </c>
      <c r="B13" s="29"/>
      <c r="C13" s="29"/>
      <c r="D13" s="29"/>
      <c r="E13" s="29"/>
      <c r="F13" s="29"/>
      <c r="G13" s="29"/>
      <c r="H13" s="29"/>
      <c r="I13" s="29"/>
      <c r="J13" s="29"/>
    </row>
    <row r="14" customFormat="false" ht="23.25" hidden="false" customHeight="true" outlineLevel="0" collapsed="false">
      <c r="A14" s="10" t="s">
        <v>138</v>
      </c>
      <c r="B14" s="10" t="s">
        <v>139</v>
      </c>
      <c r="C14" s="10" t="s">
        <v>173</v>
      </c>
      <c r="D14" s="10" t="s">
        <v>141</v>
      </c>
      <c r="E14" s="10" t="s">
        <v>142</v>
      </c>
      <c r="F14" s="10" t="s">
        <v>143</v>
      </c>
      <c r="G14" s="10" t="s">
        <v>144</v>
      </c>
      <c r="H14" s="10" t="s">
        <v>145</v>
      </c>
      <c r="I14" s="10" t="s">
        <v>146</v>
      </c>
      <c r="J14" s="10" t="s">
        <v>147</v>
      </c>
    </row>
    <row r="15" customFormat="false" ht="15" hidden="false" customHeight="true" outlineLevel="0" collapsed="false">
      <c r="A15" s="25" t="s">
        <v>174</v>
      </c>
      <c r="B15" s="25" t="n">
        <v>2</v>
      </c>
      <c r="C15" s="25" t="n">
        <v>2</v>
      </c>
      <c r="D15" s="30" t="n">
        <v>1.9886</v>
      </c>
      <c r="E15" s="30" t="n">
        <v>0.9906</v>
      </c>
      <c r="F15" s="30" t="n">
        <v>2.4458</v>
      </c>
      <c r="G15" s="31" t="n">
        <f aca="false">IF(OR(E15="",E19=""),"",((E15-E19)/E19)/((B15-B19)/B19))</f>
        <v>0.00262123197903008</v>
      </c>
      <c r="H15" s="31" t="n">
        <f aca="false">IF(OR(D15="",D19=""),"",((D15-D19)/D19)/((B15-B19)/B19))</f>
        <v>-0.00382910116888354</v>
      </c>
      <c r="I15" s="31" t="n">
        <f aca="false">IF(OR(F15="",F19=""),"",((F15-F19)/F19)/((B15-B19)/B19))</f>
        <v>0.230053913232261</v>
      </c>
      <c r="J15" s="26"/>
    </row>
    <row r="16" customFormat="false" ht="15" hidden="false" customHeight="true" outlineLevel="0" collapsed="false">
      <c r="A16" s="25" t="s">
        <v>175</v>
      </c>
      <c r="B16" s="25" t="n">
        <v>2.5</v>
      </c>
      <c r="C16" s="25" t="n">
        <v>2.5</v>
      </c>
      <c r="D16" s="30" t="n">
        <v>1.9852</v>
      </c>
      <c r="E16" s="30" t="n">
        <v>0.9911</v>
      </c>
      <c r="F16" s="30" t="n">
        <v>2.554</v>
      </c>
      <c r="G16" s="31" t="n">
        <f aca="false">IF(OR(E16="",E19=""),"",((E16-E19)/E19)/((B16-B19)/B19))</f>
        <v>0.00215075444433249</v>
      </c>
      <c r="H16" s="31" t="n">
        <f aca="false">IF(OR(D16="",D19=""),"",((D16-D19)/D19)/((B16-B19)/B19))</f>
        <v>-0.000537417707913715</v>
      </c>
      <c r="I16" s="31" t="n">
        <f aca="false">IF(OR(F16="",F19=""),"",((F16-F19)/F19)/((B16-B19)/B19))</f>
        <v>0.202337446177226</v>
      </c>
      <c r="J16" s="26"/>
    </row>
    <row r="17" customFormat="false" ht="21.75" hidden="false" customHeight="true" outlineLevel="0" collapsed="false">
      <c r="A17" s="12" t="s">
        <v>176</v>
      </c>
      <c r="B17" s="12" t="n">
        <v>3</v>
      </c>
      <c r="C17" s="12" t="n">
        <v>3</v>
      </c>
      <c r="D17" s="30" t="n">
        <v>1.9843</v>
      </c>
      <c r="E17" s="30" t="n">
        <v>0.9914</v>
      </c>
      <c r="F17" s="30" t="n">
        <v>2.6386</v>
      </c>
      <c r="G17" s="31" t="n">
        <f aca="false">IF(OR(E17="",E19=""),"",((E17-E19)/E19)/((B17-B19)/B19))</f>
        <v>0.00201633229156188</v>
      </c>
      <c r="H17" s="31" t="n">
        <f aca="false">IF(OR(D17="",D19=""),"",((D17-D19)/D19)/((B17-B19)/B19))</f>
        <v>0.00100765820233766</v>
      </c>
      <c r="I17" s="31" t="n">
        <f aca="false">IF(OR(F17="",F19=""),"",((F17-F19)/F19)/((B17-B19)/B19))</f>
        <v>0.181061620291638</v>
      </c>
      <c r="J17" s="26" t="s">
        <v>151</v>
      </c>
    </row>
    <row r="18" customFormat="false" ht="15" hidden="false" customHeight="true" outlineLevel="0" collapsed="false">
      <c r="A18" s="25" t="s">
        <v>177</v>
      </c>
      <c r="B18" s="25" t="n">
        <v>3.5</v>
      </c>
      <c r="C18" s="25" t="n">
        <v>3.5</v>
      </c>
      <c r="D18" s="30" t="n">
        <v>1.9843</v>
      </c>
      <c r="E18" s="30" t="n">
        <v>0.9917</v>
      </c>
      <c r="F18" s="30" t="n">
        <v>2.707</v>
      </c>
      <c r="G18" s="31" t="n">
        <f aca="false">IF(OR(E18="",E19=""),"",((E18-E19)/E19)/((B18-B19)/B19))</f>
        <v>0.00161306583324914</v>
      </c>
      <c r="H18" s="31" t="n">
        <f aca="false">IF(OR(D18="",D19=""),"",((D18-D19)/D19)/((B18-B19)/B19))</f>
        <v>0.00201531640467531</v>
      </c>
      <c r="I18" s="31" t="n">
        <f aca="false">IF(OR(F18="",F19=""),"",((F18-F19)/F19)/((B18-B19)/B19))</f>
        <v>0.164127799688824</v>
      </c>
      <c r="J18" s="26"/>
    </row>
    <row r="19" customFormat="false" ht="15" hidden="false" customHeight="true" outlineLevel="0" collapsed="false">
      <c r="A19" s="15" t="s">
        <v>178</v>
      </c>
      <c r="B19" s="15" t="n">
        <v>4</v>
      </c>
      <c r="C19" s="15" t="n">
        <v>4</v>
      </c>
      <c r="D19" s="30" t="n">
        <v>1.9848</v>
      </c>
      <c r="E19" s="30" t="n">
        <v>0.9919</v>
      </c>
      <c r="F19" s="30" t="n">
        <v>2.7637</v>
      </c>
      <c r="G19" s="32" t="s">
        <v>28</v>
      </c>
      <c r="H19" s="32" t="s">
        <v>28</v>
      </c>
      <c r="I19" s="32" t="s">
        <v>28</v>
      </c>
      <c r="J19" s="26" t="s">
        <v>153</v>
      </c>
    </row>
    <row r="22" customFormat="false" ht="15" hidden="false" customHeight="true" outlineLevel="0" collapsed="false">
      <c r="A22" s="20" t="s">
        <v>157</v>
      </c>
    </row>
    <row r="23" customFormat="false" ht="75.75" hidden="false" customHeight="true" outlineLevel="0" collapsed="false">
      <c r="A23" s="24" t="s">
        <v>179</v>
      </c>
      <c r="B23" s="24"/>
      <c r="C23" s="24"/>
      <c r="D23" s="24"/>
      <c r="E23" s="24"/>
      <c r="F23" s="24"/>
      <c r="G23" s="24"/>
      <c r="H23" s="24"/>
      <c r="I23" s="24"/>
      <c r="J23" s="24"/>
    </row>
    <row r="25" customFormat="false" ht="15" hidden="false" customHeight="true" outlineLevel="0" collapsed="false">
      <c r="A25" s="20" t="s">
        <v>108</v>
      </c>
    </row>
    <row r="26" customFormat="false" ht="15" hidden="false" customHeight="true" outlineLevel="0" collapsed="false">
      <c r="A26" s="33" t="s">
        <v>159</v>
      </c>
      <c r="B26" s="33"/>
      <c r="C26" s="33"/>
      <c r="D26" s="33"/>
      <c r="E26" s="33"/>
      <c r="F26" s="33"/>
      <c r="G26" s="33"/>
      <c r="H26" s="33"/>
      <c r="I26" s="33"/>
      <c r="J26" s="33"/>
    </row>
    <row r="27" customFormat="false" ht="15" hidden="false" customHeight="true" outlineLevel="0" collapsed="false">
      <c r="A27" s="22" t="s">
        <v>160</v>
      </c>
      <c r="B27" s="22"/>
      <c r="C27" s="22"/>
      <c r="D27" s="22"/>
      <c r="E27" s="22"/>
      <c r="F27" s="22"/>
      <c r="G27" s="22"/>
      <c r="H27" s="22"/>
      <c r="I27" s="22"/>
      <c r="J27" s="22"/>
    </row>
    <row r="28" customFormat="false" ht="15" hidden="false" customHeight="true" outlineLevel="0" collapsed="false">
      <c r="A28" s="21" t="s">
        <v>161</v>
      </c>
      <c r="B28" s="21"/>
      <c r="C28" s="21"/>
      <c r="D28" s="21"/>
      <c r="E28" s="21"/>
      <c r="F28" s="21"/>
      <c r="G28" s="21"/>
      <c r="H28" s="21"/>
      <c r="I28" s="21"/>
      <c r="J28" s="21"/>
    </row>
  </sheetData>
  <mergeCells count="7">
    <mergeCell ref="A2:J2"/>
    <mergeCell ref="A4:J4"/>
    <mergeCell ref="A13:J13"/>
    <mergeCell ref="A23:J23"/>
    <mergeCell ref="A26:J26"/>
    <mergeCell ref="A27:J27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34" t="s">
        <v>180</v>
      </c>
    </row>
    <row r="2" customFormat="false" ht="48" hidden="false" customHeight="true" outlineLevel="0" collapsed="false">
      <c r="A2" s="24" t="s">
        <v>181</v>
      </c>
      <c r="B2" s="24"/>
      <c r="C2" s="24"/>
      <c r="D2" s="24"/>
      <c r="E2" s="24"/>
    </row>
    <row r="4" customFormat="false" ht="15" hidden="false" customHeight="false" outlineLevel="0" collapsed="false">
      <c r="A4" s="35" t="s">
        <v>182</v>
      </c>
      <c r="B4" s="35"/>
      <c r="C4" s="35"/>
      <c r="D4" s="35"/>
      <c r="E4" s="35"/>
    </row>
    <row r="5" customFormat="false" ht="15" hidden="false" customHeight="false" outlineLevel="0" collapsed="false">
      <c r="A5" s="10" t="s">
        <v>183</v>
      </c>
      <c r="B5" s="10" t="s">
        <v>141</v>
      </c>
      <c r="C5" s="10" t="s">
        <v>184</v>
      </c>
      <c r="D5" s="10" t="s">
        <v>143</v>
      </c>
      <c r="E5" s="10" t="s">
        <v>118</v>
      </c>
    </row>
    <row r="6" customFormat="false" ht="33.75" hidden="false" customHeight="true" outlineLevel="0" collapsed="false">
      <c r="A6" s="36" t="s">
        <v>185</v>
      </c>
      <c r="B6" s="37" t="n">
        <v>1.7</v>
      </c>
      <c r="C6" s="37" t="n">
        <v>0.9631</v>
      </c>
      <c r="D6" s="37" t="n">
        <v>4.1172</v>
      </c>
      <c r="E6" s="27" t="s">
        <v>186</v>
      </c>
    </row>
    <row r="7" customFormat="false" ht="33.75" hidden="false" customHeight="true" outlineLevel="0" collapsed="false">
      <c r="A7" s="38" t="s">
        <v>187</v>
      </c>
      <c r="B7" s="39" t="n">
        <v>3.1591</v>
      </c>
      <c r="C7" s="39" t="n">
        <v>0.7839</v>
      </c>
      <c r="D7" s="39" t="n">
        <v>17.6428</v>
      </c>
      <c r="E7" s="28" t="s">
        <v>188</v>
      </c>
    </row>
    <row r="8" customFormat="false" ht="33.75" hidden="false" customHeight="true" outlineLevel="0" collapsed="false">
      <c r="A8" s="40" t="s">
        <v>189</v>
      </c>
      <c r="B8" s="41" t="n">
        <v>1.6864</v>
      </c>
      <c r="C8" s="41" t="n">
        <v>0.9555</v>
      </c>
      <c r="D8" s="41" t="n">
        <v>3.0009</v>
      </c>
      <c r="E8" s="42" t="s">
        <v>190</v>
      </c>
    </row>
    <row r="9" customFormat="false" ht="15" hidden="false" customHeight="false" outlineLevel="0" collapsed="false">
      <c r="A9" s="43" t="s">
        <v>191</v>
      </c>
      <c r="B9" s="43"/>
      <c r="C9" s="43"/>
      <c r="D9" s="43"/>
      <c r="E9" s="43"/>
    </row>
    <row r="12" customFormat="false" ht="15" hidden="false" customHeight="false" outlineLevel="0" collapsed="false">
      <c r="A12" s="35" t="s">
        <v>192</v>
      </c>
      <c r="B12" s="35"/>
      <c r="C12" s="35"/>
      <c r="D12" s="35"/>
      <c r="E12" s="35"/>
    </row>
    <row r="13" customFormat="false" ht="15" hidden="false" customHeight="false" outlineLevel="0" collapsed="false">
      <c r="A13" s="10" t="s">
        <v>183</v>
      </c>
      <c r="B13" s="10" t="s">
        <v>141</v>
      </c>
      <c r="C13" s="10" t="s">
        <v>184</v>
      </c>
      <c r="D13" s="10" t="s">
        <v>143</v>
      </c>
      <c r="E13" s="10" t="s">
        <v>118</v>
      </c>
    </row>
    <row r="14" customFormat="false" ht="33.75" hidden="false" customHeight="true" outlineLevel="0" collapsed="false">
      <c r="A14" s="36" t="s">
        <v>185</v>
      </c>
      <c r="B14" s="37" t="n">
        <v>2</v>
      </c>
      <c r="C14" s="37" t="n">
        <v>0.9935</v>
      </c>
      <c r="D14" s="37" t="n">
        <v>3.7175</v>
      </c>
      <c r="E14" s="27" t="s">
        <v>186</v>
      </c>
    </row>
    <row r="15" customFormat="false" ht="33.75" hidden="false" customHeight="true" outlineLevel="0" collapsed="false">
      <c r="A15" s="38" t="s">
        <v>187</v>
      </c>
      <c r="B15" s="39" t="n">
        <v>3.7588</v>
      </c>
      <c r="C15" s="39" t="n">
        <v>0.901</v>
      </c>
      <c r="D15" s="39" t="n">
        <v>17.4873</v>
      </c>
      <c r="E15" s="28" t="s">
        <v>188</v>
      </c>
    </row>
    <row r="16" customFormat="false" ht="33.75" hidden="false" customHeight="true" outlineLevel="0" collapsed="false">
      <c r="A16" s="40" t="s">
        <v>189</v>
      </c>
      <c r="B16" s="41" t="n">
        <v>1.9848</v>
      </c>
      <c r="C16" s="41" t="n">
        <v>0.9919</v>
      </c>
      <c r="D16" s="41" t="n">
        <v>2.7637</v>
      </c>
      <c r="E16" s="42" t="s">
        <v>190</v>
      </c>
    </row>
    <row r="17" customFormat="false" ht="15" hidden="false" customHeight="false" outlineLevel="0" collapsed="false">
      <c r="A17" s="43" t="s">
        <v>193</v>
      </c>
      <c r="B17" s="43"/>
      <c r="C17" s="43"/>
      <c r="D17" s="43"/>
      <c r="E17" s="43"/>
    </row>
    <row r="20" customFormat="false" ht="15" hidden="false" customHeight="false" outlineLevel="0" collapsed="false">
      <c r="A20" s="7" t="s">
        <v>194</v>
      </c>
    </row>
    <row r="21" customFormat="false" ht="45.75" hidden="false" customHeight="true" outlineLevel="0" collapsed="false">
      <c r="A21" s="24" t="s">
        <v>195</v>
      </c>
      <c r="B21" s="24"/>
      <c r="C21" s="24"/>
      <c r="D21" s="24"/>
      <c r="E21" s="24"/>
    </row>
    <row r="22" customFormat="false" ht="45.75" hidden="false" customHeight="true" outlineLevel="0" collapsed="false">
      <c r="A22" s="24" t="s">
        <v>196</v>
      </c>
      <c r="B22" s="24"/>
      <c r="C22" s="24"/>
      <c r="D22" s="24"/>
      <c r="E22" s="24"/>
    </row>
    <row r="23" customFormat="false" ht="45.75" hidden="false" customHeight="true" outlineLevel="0" collapsed="false">
      <c r="A23" s="24" t="s">
        <v>197</v>
      </c>
      <c r="B23" s="24"/>
      <c r="C23" s="24"/>
      <c r="D23" s="24"/>
      <c r="E23" s="24"/>
    </row>
    <row r="24" customFormat="false" ht="45.75" hidden="false" customHeight="true" outlineLevel="0" collapsed="false">
      <c r="A24" s="24" t="s">
        <v>198</v>
      </c>
      <c r="B24" s="24"/>
      <c r="C24" s="24"/>
      <c r="D24" s="24"/>
      <c r="E24" s="24"/>
    </row>
  </sheetData>
  <mergeCells count="9">
    <mergeCell ref="A2:E2"/>
    <mergeCell ref="A4:E4"/>
    <mergeCell ref="A9:E9"/>
    <mergeCell ref="A12:E12"/>
    <mergeCell ref="A17:E17"/>
    <mergeCell ref="A21:E21"/>
    <mergeCell ref="A22:E22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7" min="7" style="1" width="50"/>
  </cols>
  <sheetData>
    <row r="1" customFormat="false" ht="17.25" hidden="false" customHeight="true" outlineLevel="0" collapsed="false">
      <c r="A1" s="8" t="s">
        <v>199</v>
      </c>
    </row>
    <row r="2" customFormat="false" ht="45.75" hidden="false" customHeight="true" outlineLevel="0" collapsed="false">
      <c r="A2" s="24" t="s">
        <v>200</v>
      </c>
      <c r="B2" s="24"/>
      <c r="C2" s="24"/>
      <c r="D2" s="24"/>
      <c r="E2" s="24"/>
      <c r="F2" s="24"/>
      <c r="G2" s="24"/>
    </row>
    <row r="4" customFormat="false" ht="15" hidden="false" customHeight="true" outlineLevel="0" collapsed="false">
      <c r="A4" s="29" t="s">
        <v>182</v>
      </c>
      <c r="B4" s="29"/>
      <c r="C4" s="29"/>
      <c r="D4" s="29"/>
      <c r="E4" s="29"/>
      <c r="F4" s="29"/>
      <c r="G4" s="29"/>
    </row>
    <row r="5" customFormat="false" ht="23.25" hidden="false" customHeight="true" outlineLevel="0" collapsed="false">
      <c r="A5" s="10" t="s">
        <v>20</v>
      </c>
      <c r="B5" s="10" t="s">
        <v>201</v>
      </c>
      <c r="C5" s="10" t="s">
        <v>202</v>
      </c>
      <c r="D5" s="10" t="s">
        <v>203</v>
      </c>
      <c r="E5" s="10" t="s">
        <v>204</v>
      </c>
      <c r="F5" s="10" t="s">
        <v>205</v>
      </c>
      <c r="G5" s="10" t="s">
        <v>206</v>
      </c>
    </row>
    <row r="6" customFormat="false" ht="15" hidden="false" customHeight="true" outlineLevel="0" collapsed="false">
      <c r="A6" s="25" t="s">
        <v>207</v>
      </c>
      <c r="B6" s="25" t="s">
        <v>208</v>
      </c>
      <c r="C6" s="25" t="s">
        <v>209</v>
      </c>
      <c r="D6" s="44" t="n">
        <f aca="false">IF(Sweep_KR!G8="","",ABS(Sweep_KR!G8))</f>
        <v>0.00209314495028804</v>
      </c>
      <c r="E6" s="25" t="str">
        <f aca="false">IF(COUNT($D$6:$D$8)&lt;3,"",_xlfn.IFS(D6=MAX($D$6:$D$8),"1 (πιο ευαίσθητη)",D6=MIN($D$6:$D$8),"3 (λιγότερο ευαίσθητη)",TRUE(),"2 (ενδιάμεση)"))</f>
        <v>2 (ενδιάμεση)</v>
      </c>
      <c r="F6" s="31" t="n">
        <f aca="false">IF(COUNT(Sweep_KR!G6,Sweep_KR!G7,Sweep_KR!G8,Sweep_KR!G10,Sweep_KR!G11)=0,"",MAX(ABS(Sweep_KR!G6),ABS(Sweep_KR!G7),ABS(Sweep_KR!G8),ABS(Sweep_KR!G10),ABS(Sweep_KR!G11)))</f>
        <v>0.00209314495028804</v>
      </c>
      <c r="G6" s="30"/>
    </row>
    <row r="7" customFormat="false" ht="15" hidden="false" customHeight="true" outlineLevel="0" collapsed="false">
      <c r="A7" s="25" t="s">
        <v>210</v>
      </c>
      <c r="B7" s="25" t="s">
        <v>211</v>
      </c>
      <c r="C7" s="25" t="s">
        <v>209</v>
      </c>
      <c r="D7" s="44" t="n">
        <f aca="false">IF(Sweep_Kd_TIPTetR!G8="","",ABS(Sweep_Kd_TIPTetR!G8))</f>
        <v>0.000837257980115031</v>
      </c>
      <c r="E7" s="25" t="str">
        <f aca="false">IF(COUNT($D$6:$D$8)&lt;3,"",_xlfn.IFS(D7=MAX($D$6:$D$8),"1 (πιο ευαίσθητη)",D7=MIN($D$6:$D$8),"3 (λιγότερο ευαίσθητη)",TRUE(),"2 (ενδιάμεση)"))</f>
        <v>3 (λιγότερο ευαίσθητη)</v>
      </c>
      <c r="F7" s="31" t="n">
        <f aca="false">IF(COUNT(Sweep_Kd_TIPTetR!G6,Sweep_Kd_TIPTetR!G7,Sweep_Kd_TIPTetR!G8,Sweep_Kd_TIPTetR!G10,Sweep_Kd_TIPTetR!G11)=0,"",MAX(ABS(Sweep_Kd_TIPTetR!G6),ABS(Sweep_Kd_TIPTetR!G7),ABS(Sweep_Kd_TIPTetR!G8),ABS(Sweep_Kd_TIPTetR!G10),ABS(Sweep_Kd_TIPTetR!G11)))</f>
        <v>0.00190285904571621</v>
      </c>
      <c r="G7" s="30"/>
    </row>
    <row r="8" customFormat="false" ht="15" hidden="false" customHeight="true" outlineLevel="0" collapsed="false">
      <c r="A8" s="25" t="s">
        <v>212</v>
      </c>
      <c r="B8" s="25" t="s">
        <v>213</v>
      </c>
      <c r="C8" s="25" t="s">
        <v>209</v>
      </c>
      <c r="D8" s="44" t="n">
        <f aca="false">IF(Sweep_n!G8="","",ABS(Sweep_n!G8))</f>
        <v>0.00837257980115124</v>
      </c>
      <c r="E8" s="25" t="str">
        <f aca="false">IF(COUNT($D$6:$D$8)&lt;3,"",_xlfn.IFS(D8=MAX($D$6:$D$8),"1 (πιο ευαίσθητη)",D8=MIN($D$6:$D$8),"3 (λιγότερο ευαίσθητη)",TRUE(),"2 (ενδιάμεση)"))</f>
        <v>1 (πιο ευαίσθητη)</v>
      </c>
      <c r="F8" s="31" t="n">
        <f aca="false">IF(COUNT(Sweep_n!G6,Sweep_n!G7,Sweep_n!G8,Sweep_n!G9)=0,"",MAX(ABS(Sweep_n!G6),ABS(Sweep_n!G7),ABS(Sweep_n!G8),ABS(Sweep_n!G9)))</f>
        <v>0.0108843537414966</v>
      </c>
      <c r="G8" s="30"/>
    </row>
    <row r="11" customFormat="false" ht="15" hidden="false" customHeight="true" outlineLevel="0" collapsed="false">
      <c r="A11" s="29" t="s">
        <v>192</v>
      </c>
      <c r="B11" s="29"/>
      <c r="C11" s="29"/>
      <c r="D11" s="29"/>
      <c r="E11" s="29"/>
      <c r="F11" s="29"/>
      <c r="G11" s="29"/>
    </row>
    <row r="12" customFormat="false" ht="23.25" hidden="false" customHeight="true" outlineLevel="0" collapsed="false">
      <c r="A12" s="10" t="s">
        <v>20</v>
      </c>
      <c r="B12" s="10" t="s">
        <v>201</v>
      </c>
      <c r="C12" s="10" t="s">
        <v>202</v>
      </c>
      <c r="D12" s="10" t="s">
        <v>203</v>
      </c>
      <c r="E12" s="10" t="s">
        <v>204</v>
      </c>
      <c r="F12" s="10" t="s">
        <v>205</v>
      </c>
      <c r="G12" s="10" t="s">
        <v>206</v>
      </c>
    </row>
    <row r="13" customFormat="false" ht="15" hidden="false" customHeight="true" outlineLevel="0" collapsed="false">
      <c r="A13" s="25" t="s">
        <v>207</v>
      </c>
      <c r="B13" s="25" t="s">
        <v>208</v>
      </c>
      <c r="C13" s="25" t="s">
        <v>214</v>
      </c>
      <c r="D13" s="44" t="n">
        <f aca="false">IF(Sweep_KR!G18="","",ABS(Sweep_KR!G18))</f>
        <v>0.000403266458312286</v>
      </c>
      <c r="E13" s="25" t="str">
        <f aca="false">IF(COUNT($D$13:$D$15)&lt;3,"",_xlfn.IFS(D13=MAX($D$13:$D$15),"1 (πιο ευαίσθητη)",D13=MIN($D$13:$D$15),"3 (λιγότερο ευαίσθητη)",TRUE(),"2 (ενδιάμεση)"))</f>
        <v>3 (λιγότερο ευαίσθητη)</v>
      </c>
      <c r="F13" s="31" t="n">
        <f aca="false">IF(COUNT(Sweep_KR!G16,Sweep_KR!G17,Sweep_KR!G18,Sweep_KR!G20,Sweep_KR!G21)=0,"",MAX(ABS(Sweep_KR!G16),ABS(Sweep_KR!G17),ABS(Sweep_KR!G18),ABS(Sweep_KR!G20),ABS(Sweep_KR!G21)))</f>
        <v>0.000403266458312286</v>
      </c>
      <c r="G13" s="30"/>
    </row>
    <row r="14" customFormat="false" ht="15" hidden="false" customHeight="true" outlineLevel="0" collapsed="false">
      <c r="A14" s="25" t="s">
        <v>210</v>
      </c>
      <c r="B14" s="25" t="s">
        <v>211</v>
      </c>
      <c r="C14" s="25" t="s">
        <v>214</v>
      </c>
      <c r="D14" s="44" t="n">
        <f aca="false">IF(Sweep_Kd_TIPTetR!G18="","",ABS(Sweep_Kd_TIPTetR!G18))</f>
        <v>0.000403266458312286</v>
      </c>
      <c r="E14" s="25" t="str">
        <f aca="false">IF(COUNT($D$13:$D$15)&lt;3,"",_xlfn.IFS(D14=MAX($D$13:$D$15),"1 (πιο ευαίσθητη)",D14=MIN($D$13:$D$15),"3 (λιγότερο ευαίσθητη)",TRUE(),"2 (ενδιάμεση)"))</f>
        <v>3 (λιγότερο ευαίσθητη)</v>
      </c>
      <c r="F14" s="31" t="n">
        <f aca="false">IF(COUNT(Sweep_Kd_TIPTetR!G16,Sweep_Kd_TIPTetR!G17,Sweep_Kd_TIPTetR!G18,Sweep_Kd_TIPTetR!G20,Sweep_Kd_TIPTetR!G21)=0,"",MAX(ABS(Sweep_Kd_TIPTetR!G16),ABS(Sweep_Kd_TIPTetR!G17),ABS(Sweep_Kd_TIPTetR!G18),ABS(Sweep_Kd_TIPTetR!G20),ABS(Sweep_Kd_TIPTetR!G21)))</f>
        <v>0.000448073842569206</v>
      </c>
      <c r="G14" s="30"/>
    </row>
    <row r="15" customFormat="false" ht="15" hidden="false" customHeight="true" outlineLevel="0" collapsed="false">
      <c r="A15" s="25" t="s">
        <v>212</v>
      </c>
      <c r="B15" s="25" t="s">
        <v>213</v>
      </c>
      <c r="C15" s="25" t="s">
        <v>214</v>
      </c>
      <c r="D15" s="44" t="n">
        <f aca="false">IF(Sweep_n!G17="","",ABS(Sweep_n!G17))</f>
        <v>0.00201633229156188</v>
      </c>
      <c r="E15" s="25" t="str">
        <f aca="false">IF(COUNT($D$13:$D$15)&lt;3,"",_xlfn.IFS(D15=MAX($D$13:$D$15),"1 (πιο ευαίσθητη)",D15=MIN($D$13:$D$15),"3 (λιγότερο ευαίσθητη)",TRUE(),"2 (ενδιάμεση)"))</f>
        <v>1 (πιο ευαίσθητη)</v>
      </c>
      <c r="F15" s="31" t="n">
        <f aca="false">IF(COUNT(Sweep_n!G15,Sweep_n!G16,Sweep_n!G17,Sweep_n!G18)=0,"",MAX(ABS(Sweep_n!G15),ABS(Sweep_n!G16),ABS(Sweep_n!G17),ABS(Sweep_n!G18)))</f>
        <v>0.00262123197903008</v>
      </c>
      <c r="G15" s="30"/>
    </row>
    <row r="18" customFormat="false" ht="15" hidden="false" customHeight="true" outlineLevel="0" collapsed="false">
      <c r="A18" s="20" t="s">
        <v>215</v>
      </c>
    </row>
    <row r="19" customFormat="false" ht="30" hidden="false" customHeight="true" outlineLevel="0" collapsed="false">
      <c r="A19" s="24" t="s">
        <v>216</v>
      </c>
      <c r="B19" s="24"/>
      <c r="C19" s="24"/>
      <c r="D19" s="24"/>
      <c r="E19" s="24"/>
      <c r="F19" s="24"/>
      <c r="G19" s="24"/>
    </row>
    <row r="20" customFormat="false" ht="30" hidden="false" customHeight="true" outlineLevel="0" collapsed="false">
      <c r="A20" s="24" t="s">
        <v>217</v>
      </c>
      <c r="B20" s="24"/>
      <c r="C20" s="24"/>
      <c r="D20" s="24"/>
      <c r="E20" s="24"/>
      <c r="F20" s="24"/>
      <c r="G20" s="24"/>
    </row>
    <row r="21" customFormat="false" ht="30" hidden="false" customHeight="true" outlineLevel="0" collapsed="false">
      <c r="A21" s="24" t="s">
        <v>218</v>
      </c>
      <c r="B21" s="24"/>
      <c r="C21" s="24"/>
      <c r="D21" s="24"/>
      <c r="E21" s="24"/>
      <c r="F21" s="24"/>
      <c r="G21" s="24"/>
    </row>
    <row r="22" customFormat="false" ht="30" hidden="false" customHeight="true" outlineLevel="0" collapsed="false">
      <c r="A22" s="24" t="s">
        <v>219</v>
      </c>
      <c r="B22" s="24"/>
      <c r="C22" s="24"/>
      <c r="D22" s="24"/>
      <c r="E22" s="24"/>
      <c r="F22" s="24"/>
      <c r="G22" s="24"/>
    </row>
    <row r="24" customFormat="false" ht="15" hidden="false" customHeight="false" outlineLevel="0" collapsed="false">
      <c r="A24" s="7" t="s">
        <v>220</v>
      </c>
    </row>
    <row r="25" customFormat="false" ht="51.75" hidden="false" customHeight="true" outlineLevel="0" collapsed="false">
      <c r="A25" s="24" t="s">
        <v>221</v>
      </c>
      <c r="B25" s="24"/>
      <c r="C25" s="24"/>
      <c r="D25" s="24"/>
      <c r="E25" s="24"/>
      <c r="F25" s="24"/>
      <c r="G25" s="24"/>
    </row>
    <row r="26" customFormat="false" ht="51.75" hidden="false" customHeight="true" outlineLevel="0" collapsed="false">
      <c r="A26" s="24" t="s">
        <v>222</v>
      </c>
      <c r="B26" s="24"/>
      <c r="C26" s="24"/>
      <c r="D26" s="24"/>
      <c r="E26" s="24"/>
      <c r="F26" s="24"/>
      <c r="G26" s="24"/>
    </row>
    <row r="27" customFormat="false" ht="51.75" hidden="false" customHeight="true" outlineLevel="0" collapsed="false">
      <c r="A27" s="24" t="s">
        <v>223</v>
      </c>
      <c r="B27" s="24"/>
      <c r="C27" s="24"/>
      <c r="D27" s="24"/>
      <c r="E27" s="24"/>
      <c r="F27" s="24"/>
      <c r="G27" s="24"/>
    </row>
    <row r="28" customFormat="false" ht="51.75" hidden="false" customHeight="true" outlineLevel="0" collapsed="false">
      <c r="A28" s="24" t="s">
        <v>224</v>
      </c>
      <c r="B28" s="24"/>
      <c r="C28" s="24"/>
      <c r="D28" s="24"/>
      <c r="E28" s="24"/>
      <c r="F28" s="24"/>
      <c r="G28" s="24"/>
    </row>
    <row r="29" customFormat="false" ht="51.75" hidden="false" customHeight="true" outlineLevel="0" collapsed="false">
      <c r="A29" s="24" t="s">
        <v>225</v>
      </c>
      <c r="B29" s="24"/>
      <c r="C29" s="24"/>
      <c r="D29" s="24"/>
      <c r="E29" s="24"/>
      <c r="F29" s="24"/>
      <c r="G29" s="24"/>
    </row>
    <row r="30" customFormat="false" ht="51.75" hidden="false" customHeight="true" outlineLevel="0" collapsed="false">
      <c r="A30" s="24" t="s">
        <v>226</v>
      </c>
      <c r="B30" s="24"/>
      <c r="C30" s="24"/>
      <c r="D30" s="24"/>
      <c r="E30" s="24"/>
      <c r="F30" s="24"/>
      <c r="G30" s="24"/>
    </row>
  </sheetData>
  <mergeCells count="13">
    <mergeCell ref="A2:G2"/>
    <mergeCell ref="A4:G4"/>
    <mergeCell ref="A11:G11"/>
    <mergeCell ref="A19:G19"/>
    <mergeCell ref="A20:G20"/>
    <mergeCell ref="A21:G21"/>
    <mergeCell ref="A22:G22"/>
    <mergeCell ref="A25:G25"/>
    <mergeCell ref="A26:G26"/>
    <mergeCell ref="A27:G27"/>
    <mergeCell ref="A28:G28"/>
    <mergeCell ref="A29:G29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2026-08-22T11:20:57Z</dcterms:created>
  <dc:creator>openpyxl</dc:creator>
  <dc:description/>
  <dc:language>en-US</dc:language>
  <cp:lastModifiedBy/>
  <dcterms:modified xsi:type="dcterms:W3CDTF">2026-08-24T20:25:10Z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